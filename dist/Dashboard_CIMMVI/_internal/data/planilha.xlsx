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MMVI - Rateio Banco do Brasil" sheetId="1" r:id="rId5"/>
    <sheet state="visible" name="CIMMVI - Licenciamento Caixa - " sheetId="2" r:id="rId6"/>
    <sheet state="visible" name="AMVI - Banco do Brasil - CC 439" sheetId="3" r:id="rId7"/>
    <sheet state="visible" name="Previsões" sheetId="4" r:id="rId8"/>
  </sheets>
  <definedNames/>
  <calcPr/>
</workbook>
</file>

<file path=xl/sharedStrings.xml><?xml version="1.0" encoding="utf-8"?>
<sst xmlns="http://schemas.openxmlformats.org/spreadsheetml/2006/main" count="1134" uniqueCount="251">
  <si>
    <t>CATEGORIA</t>
  </si>
  <si>
    <t>CIMMVI - Rateio Municipal Banco do Brasil - CC 142078-0</t>
  </si>
  <si>
    <t>DESCRIÇÃO</t>
  </si>
  <si>
    <t>Valor ()</t>
  </si>
  <si>
    <t>Coluna 1</t>
  </si>
  <si>
    <t>NF/ Nº doc</t>
  </si>
  <si>
    <t>OBSERVAÇÃO</t>
  </si>
  <si>
    <t>DATA PAGAMENTO</t>
  </si>
  <si>
    <t>CIMMVI - Licencionamento Caixa - CC 575265726-8</t>
  </si>
  <si>
    <t>SITUAÇÃO</t>
  </si>
  <si>
    <t>Parc. Atual</t>
  </si>
  <si>
    <t>FORMA PAGAMENTO</t>
  </si>
  <si>
    <t>Parc. Rest</t>
  </si>
  <si>
    <t>MOVIMENTAÇÃO</t>
  </si>
  <si>
    <t>Valor () 2</t>
  </si>
  <si>
    <t>Parc. Total</t>
  </si>
  <si>
    <t>SALDO ACUMULADO</t>
  </si>
  <si>
    <t xml:space="preserve"> Rateio Municipal Perdigão</t>
  </si>
  <si>
    <t>Serviços</t>
  </si>
  <si>
    <t>Saldo inicial</t>
  </si>
  <si>
    <t>3281,87</t>
  </si>
  <si>
    <t>IPVA - Placa HMG5H64</t>
  </si>
  <si>
    <t>Saldo Inicial</t>
  </si>
  <si>
    <t>Previsão Licenciamento Lagoa da Prata</t>
  </si>
  <si>
    <t>4143,34</t>
  </si>
  <si>
    <t>Pago</t>
  </si>
  <si>
    <t xml:space="preserve"> Rateio Municipal Divinópolis</t>
  </si>
  <si>
    <t>13300,26</t>
  </si>
  <si>
    <t>Previsão Licenciamento Divinópolis</t>
  </si>
  <si>
    <t>14123,00</t>
  </si>
  <si>
    <t xml:space="preserve"> Rateio Municipal Nova Serrana</t>
  </si>
  <si>
    <t>13127,48</t>
  </si>
  <si>
    <t>Previsão Licenciamento Perdigão</t>
  </si>
  <si>
    <t>3163,20</t>
  </si>
  <si>
    <t xml:space="preserve"> Rateio Municipal Igaratinga</t>
  </si>
  <si>
    <t>Previsão Licenciamento Araújos</t>
  </si>
  <si>
    <t>2049,39</t>
  </si>
  <si>
    <t xml:space="preserve"> Rateio Municipal São Gonçalo do Pará</t>
  </si>
  <si>
    <t>Previsão Licenciamento São Gonçalo do Pará</t>
  </si>
  <si>
    <t>2405,81</t>
  </si>
  <si>
    <t xml:space="preserve"> Rateio Municipal Conceição do Pará</t>
  </si>
  <si>
    <t>Juros e Aplicações</t>
  </si>
  <si>
    <t>2461,40</t>
  </si>
  <si>
    <t>Boleto</t>
  </si>
  <si>
    <t xml:space="preserve"> Rateio Municipal Lagoa da Prata</t>
  </si>
  <si>
    <t>9025,14</t>
  </si>
  <si>
    <t xml:space="preserve"> Rateio Municipal Araújos</t>
  </si>
  <si>
    <t>2842,92</t>
  </si>
  <si>
    <t xml:space="preserve"> Rateio Municipal Pedra do Indaiá</t>
  </si>
  <si>
    <t>Previsão Mernsal Rateio Municipal Carmo da Mata</t>
  </si>
  <si>
    <t>IPVA - Placa HMQ5765</t>
  </si>
  <si>
    <t>4165,44</t>
  </si>
  <si>
    <t xml:space="preserve"> Rateio Municipal Carmo do Cajuru</t>
  </si>
  <si>
    <t>4922,80</t>
  </si>
  <si>
    <t>Rateio Municipal</t>
  </si>
  <si>
    <t xml:space="preserve">Rateio Municipal Perdigão </t>
  </si>
  <si>
    <t xml:space="preserve"> Rateio Municipal Itapecerica</t>
  </si>
  <si>
    <t>Transferir para BB</t>
  </si>
  <si>
    <t>Pix</t>
  </si>
  <si>
    <t>Algar Internet</t>
  </si>
  <si>
    <t>530183399</t>
  </si>
  <si>
    <t>Contabilidade Gisele</t>
  </si>
  <si>
    <t>19</t>
  </si>
  <si>
    <t>Águia Monitoramento</t>
  </si>
  <si>
    <t>27419</t>
  </si>
  <si>
    <t>Perdigão</t>
  </si>
  <si>
    <t>Vivo Telefone</t>
  </si>
  <si>
    <t>Posto LavaJato LTDA</t>
  </si>
  <si>
    <t>14555</t>
  </si>
  <si>
    <t>Marlindo (Jardinagem)</t>
  </si>
  <si>
    <t>5</t>
  </si>
  <si>
    <t>Memory Projetos</t>
  </si>
  <si>
    <t>Rateio Municipal Igaratinga</t>
  </si>
  <si>
    <t>Diplapel</t>
  </si>
  <si>
    <t>53818</t>
  </si>
  <si>
    <t>Rateio Municipal Igaratinga Janeiro</t>
  </si>
  <si>
    <t>Jovane Teixeira (Manutenção Carro HMG5H64) Parcela 1/3</t>
  </si>
  <si>
    <t>7</t>
  </si>
  <si>
    <t>Rateio Municipal São Gonçalo do Pará</t>
  </si>
  <si>
    <t>Kátia (Limpeza)</t>
  </si>
  <si>
    <t>9</t>
  </si>
  <si>
    <t>Rateio Municipal São Gonçalo do Pará (transferência para conta de Rateio Municipal)</t>
  </si>
  <si>
    <t>SG Cortinas</t>
  </si>
  <si>
    <t>479</t>
  </si>
  <si>
    <t>Encargos Trabalhistas</t>
  </si>
  <si>
    <t>Igaratinga</t>
  </si>
  <si>
    <t>INSS</t>
  </si>
  <si>
    <t>Refrigeração Vento Forte (Geladeira)</t>
  </si>
  <si>
    <t>FGTS</t>
  </si>
  <si>
    <t>FGTS (Pagamento para a conta de Rateio Municipal)</t>
  </si>
  <si>
    <t>Viva água</t>
  </si>
  <si>
    <t>6991</t>
  </si>
  <si>
    <t>Topografia</t>
  </si>
  <si>
    <t>Município de Perdigão Contrato de Topografia</t>
  </si>
  <si>
    <t>Jovane Teixeira (Manutenção Carro HMQ5765)</t>
  </si>
  <si>
    <t>Divinópolis</t>
  </si>
  <si>
    <t>Netty (N Comunicação)</t>
  </si>
  <si>
    <t>Vivo (setembro)</t>
  </si>
  <si>
    <t>Folha de Pagamento</t>
  </si>
  <si>
    <t>Fernando Augusto Soares</t>
  </si>
  <si>
    <t>109.100.576-13</t>
  </si>
  <si>
    <t>Eletrica Aliança Comercio</t>
  </si>
  <si>
    <t>1676</t>
  </si>
  <si>
    <t xml:space="preserve">Vilma Aparecida Messias </t>
  </si>
  <si>
    <t>033.798.646-09</t>
  </si>
  <si>
    <t>Contabilidade (Gisele)</t>
  </si>
  <si>
    <t xml:space="preserve">Warley França Santa Bárbara </t>
  </si>
  <si>
    <t>(31)99124-5066</t>
  </si>
  <si>
    <t>Singular ID</t>
  </si>
  <si>
    <t>Aguia Serv. Monitoramento</t>
  </si>
  <si>
    <t>Rateio Municipal Lagoa da Prata</t>
  </si>
  <si>
    <t>Posto Lavajato</t>
  </si>
  <si>
    <t>São Gonçalo do Pará</t>
  </si>
  <si>
    <t>Rateio Municipal Lagoa da Prata (transferencia para conta de Rateio Municipal)</t>
  </si>
  <si>
    <t>Tranferencia para BB</t>
  </si>
  <si>
    <t xml:space="preserve">Mercado Livre </t>
  </si>
  <si>
    <t>Rateio Municipal Perdigão</t>
  </si>
  <si>
    <t>Taxas Associativas</t>
  </si>
  <si>
    <t>AMM</t>
  </si>
  <si>
    <t>Marlindo (jardinagem)</t>
  </si>
  <si>
    <t>Vivo</t>
  </si>
  <si>
    <t>Jovane Teixeira (Manutenção Carro HMG5H64) Parcela 2/3</t>
  </si>
  <si>
    <t>Reembolso Vinicius Salomão</t>
  </si>
  <si>
    <t>Pagamento Programa de Tografia Perdigão</t>
  </si>
  <si>
    <t>Kátia (limpeza)</t>
  </si>
  <si>
    <t>10</t>
  </si>
  <si>
    <t>Devolução</t>
  </si>
  <si>
    <t>Devolução Rateio Municipal Perdigão</t>
  </si>
  <si>
    <t>Viva Água</t>
  </si>
  <si>
    <t>FGTS (Programa de Licenciamento)</t>
  </si>
  <si>
    <t>Auto Elétrica Dr. Almeida</t>
  </si>
  <si>
    <t>136</t>
  </si>
  <si>
    <t>Eletro Peças Delkar</t>
  </si>
  <si>
    <t>Rateio (transferência errada)</t>
  </si>
  <si>
    <t xml:space="preserve"> 610</t>
  </si>
  <si>
    <t>Transferência Rateio Municipal Igarantinga (Caixa p/ BB)</t>
  </si>
  <si>
    <t>Netty (comunicação)</t>
  </si>
  <si>
    <t>Consystem (Yuri)</t>
  </si>
  <si>
    <t>Gisele (contabilidade)</t>
  </si>
  <si>
    <t>Vivo (pagamento final)</t>
  </si>
  <si>
    <t xml:space="preserve">Aguia Monitoramento </t>
  </si>
  <si>
    <t>241</t>
  </si>
  <si>
    <t>Transferência Rateio Municipal São Gonçalo do Pará (Caixa p/ BB)</t>
  </si>
  <si>
    <t>Eduardo Araujo Frestas</t>
  </si>
  <si>
    <t>Aporte CIMMVI</t>
  </si>
  <si>
    <t>Aporte CIMMVI para AMVI</t>
  </si>
  <si>
    <t>Ruan Brandão Raposo Simões</t>
  </si>
  <si>
    <t>FGTS (Transferência para conta do banco do brasil)</t>
  </si>
  <si>
    <t>Luan Henrique Arantes Pereira</t>
  </si>
  <si>
    <t>Felipe Henrique Camargos</t>
  </si>
  <si>
    <t>Jovane Teixeira (Manutenção Carro HMG5H64) Parcela 3/3</t>
  </si>
  <si>
    <t>Licenciamento Ambiental</t>
  </si>
  <si>
    <t>Programa de Licenciamento Ambiental Divinópolis</t>
  </si>
  <si>
    <t>Posto LavaJato</t>
  </si>
  <si>
    <t>Pedro Bombeiro Hidraulico</t>
  </si>
  <si>
    <t>Vinicius Salomão Gontijo Bahia</t>
  </si>
  <si>
    <t>Nova Serrana</t>
  </si>
  <si>
    <t>Daniel (Instalação das linhas telefónicas)</t>
  </si>
  <si>
    <t>Em aberto</t>
  </si>
  <si>
    <t>Daniel Quedes Domingos</t>
  </si>
  <si>
    <t>0 7489173655</t>
  </si>
  <si>
    <t>Lagoa da Prata</t>
  </si>
  <si>
    <t>Reembolso Daniel Quedes</t>
  </si>
  <si>
    <t>Contrato de Rateio Municipal Igaratinga</t>
  </si>
  <si>
    <t>Conceição do Pará</t>
  </si>
  <si>
    <t>Contrato de Rateio Municipal Lagoa da Prata</t>
  </si>
  <si>
    <t>UOL (pagamento final)</t>
  </si>
  <si>
    <t xml:space="preserve">Memory </t>
  </si>
  <si>
    <t>Viva Água (mediante solicitação)</t>
  </si>
  <si>
    <t xml:space="preserve"> </t>
  </si>
  <si>
    <t>Guias de ISS</t>
  </si>
  <si>
    <t>Algar Internet (Atrasado)</t>
  </si>
  <si>
    <t>Aporte financeiro do RATEIO para a AMVI (Junho e Julho)</t>
  </si>
  <si>
    <t>FGTS (Pagamento para a conta do BB)</t>
  </si>
  <si>
    <t>Kátia (limpeza) (Atrasado)</t>
  </si>
  <si>
    <t>Marlindo (jardinagem) (Atrasado)</t>
  </si>
  <si>
    <t>Diária</t>
  </si>
  <si>
    <t>Diária Vinicius Salomão (viagem Lavras)</t>
  </si>
  <si>
    <t>Luiz Angelo da Silva (Manutenção Elétrica) (Atrasado)</t>
  </si>
  <si>
    <t>Posto LavaJato (Atrasado)</t>
  </si>
  <si>
    <t>FGTS (Conta de Programa)</t>
  </si>
  <si>
    <t>Águia Monitoramento (Atrasado)</t>
  </si>
  <si>
    <t>Programa de Licenciamento Ambiental Perdigão</t>
  </si>
  <si>
    <t xml:space="preserve">Reembolso Vinícius (Algar Internet) </t>
  </si>
  <si>
    <t>Gisele (contabilidade) (Atrasado)</t>
  </si>
  <si>
    <t>Contrato de Rateio Municipal Lagoa da Prata (trans. Rateio Municipal)</t>
  </si>
  <si>
    <t>DARF PASEP</t>
  </si>
  <si>
    <t>Programa de Licenciamento Ambiental</t>
  </si>
  <si>
    <t>Programa de Licenciamento Ambiental Divinópolis (Transf BB Caixa)</t>
  </si>
  <si>
    <t>Planeta Card</t>
  </si>
  <si>
    <t>DARF PASEP (março)</t>
  </si>
  <si>
    <t>Frete Crachás</t>
  </si>
  <si>
    <t>Manutenção das poltronas - Auditório</t>
  </si>
  <si>
    <t>Programa de Licenciamento Ambiental (Envio para Caixa)</t>
  </si>
  <si>
    <t>DIPLAPEL</t>
  </si>
  <si>
    <t>Reembolso</t>
  </si>
  <si>
    <t>Reembolso Vinícius Salomão</t>
  </si>
  <si>
    <t>Diária + KM estimado Fernando</t>
  </si>
  <si>
    <t>Diária Vilma</t>
  </si>
  <si>
    <t>Gisele</t>
  </si>
  <si>
    <t>Algar</t>
  </si>
  <si>
    <t>Rateio Municipal São Gonçalo</t>
  </si>
  <si>
    <t>ConSystem</t>
  </si>
  <si>
    <t xml:space="preserve">Diária Vinícius Salomão </t>
  </si>
  <si>
    <t>FGTS (transferência para conta do banco do brasil)</t>
  </si>
  <si>
    <t>Transf. Caixa Para BB Rateio Municipals</t>
  </si>
  <si>
    <t>FGTS Programa (pagamento realizado na conta do BB e reembolsado pelo programa de licenciamento ambiental)</t>
  </si>
  <si>
    <t>Memory</t>
  </si>
  <si>
    <t>Rateio Municipal Conceição do Pará</t>
  </si>
  <si>
    <t>Transf Caixa para BB (Rateio Municipal SG Pará e C do Pará)</t>
  </si>
  <si>
    <t>Aporte CIMMVI/AMVI</t>
  </si>
  <si>
    <t>Aporte CIMMVI AMVI</t>
  </si>
  <si>
    <t>Programa de Licenciamento Ambiental Divinópolis Devolução Caixa</t>
  </si>
  <si>
    <t>Fox Comercio Banner Licenciamento Hospital</t>
  </si>
  <si>
    <t xml:space="preserve">Eduardo Araujo Frestas </t>
  </si>
  <si>
    <t xml:space="preserve">Ruan Brandão Raposo Simões </t>
  </si>
  <si>
    <t xml:space="preserve">Luan Henrique Arantes Pereira </t>
  </si>
  <si>
    <t xml:space="preserve">Daniel Quedes Domingos- </t>
  </si>
  <si>
    <t xml:space="preserve">Felipe Henrique Camargos </t>
  </si>
  <si>
    <t xml:space="preserve">Programa de Licenciamento Ambiental Araújos </t>
  </si>
  <si>
    <t xml:space="preserve">Vinicius Salomão Gontijo Bahia </t>
  </si>
  <si>
    <t>Diária Vinícius</t>
  </si>
  <si>
    <t>INSS (transferência para conta do Banco do Brasil)</t>
  </si>
  <si>
    <t>FGTS (transferência para conta do Banco do Brasil)</t>
  </si>
  <si>
    <t>Transf Caixa para BB (Rateio Municipal Lagoa da Prata e Igaratinga)</t>
  </si>
  <si>
    <t>FGTS (Programa de Licenciamento) (transf caixa para bb)</t>
  </si>
  <si>
    <t>Reembolso Fernando</t>
  </si>
  <si>
    <t>Gente Seguradora SA (Seguro Estágio)</t>
  </si>
  <si>
    <t>ConSystem (Yuri)</t>
  </si>
  <si>
    <t>Programa de Licenciamento Ambiental - Perdigão</t>
  </si>
  <si>
    <t>Contrato de Rateio Araújos (Regularização dos meses 3,4,5,6,7/2026)</t>
  </si>
  <si>
    <t>Tranferencia para Rateio: Contrato de Rateio Araújos (Regularização dos meses 3,4,5,6,7/2026)</t>
  </si>
  <si>
    <t>INSS (Transferência para conta do Banco do Brasil)</t>
  </si>
  <si>
    <t>FGTS (Transferência para conta do Banco do Brasil)</t>
  </si>
  <si>
    <t>Contrato de Programa Licenciamento Ambiental Divinopolis</t>
  </si>
  <si>
    <t>Rafael Ferreira da Rocha Estágio</t>
  </si>
  <si>
    <t>Nayene Estágio</t>
  </si>
  <si>
    <t>Aporte</t>
  </si>
  <si>
    <t>Aporte para a folha de pagamento</t>
  </si>
  <si>
    <t xml:space="preserve">Keven Daniel de Paula </t>
  </si>
  <si>
    <t>Consystem</t>
  </si>
  <si>
    <t>INSS (Programa de Licenciamento) (trans Caixa para bb)</t>
  </si>
  <si>
    <t>Reembolso Keven Daniel</t>
  </si>
  <si>
    <t>Tranferencia da conta de Licenciamento: Contrato de Rateio Araújos (Regularização dos meses 3,4,5,6,7/2026)</t>
  </si>
  <si>
    <t>2 meses (junho e julho)</t>
  </si>
  <si>
    <t>FGTS (Transferência da conta Licenciamento)</t>
  </si>
  <si>
    <t>GUIA FGTS</t>
  </si>
  <si>
    <t>Diária Vinícius Salomão</t>
  </si>
  <si>
    <t xml:space="preserve"> FGTS Rescisório – Sr. Luan Henrique</t>
  </si>
  <si>
    <t>DARF INSS GUIA ÚNICA</t>
  </si>
  <si>
    <t>Restituição DARF PASEP pelo Licenciamento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</si>
</sst>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[$R$ -416]#,##0.00"/>
  </numFmts>
  <fonts count="22">
    <font>
      <sz val="10.0"/>
      <color rgb="FF000000"/>
      <name val="Verdana"/>
      <scheme val="minor"/>
    </font>
    <font>
      <color theme="1"/>
      <name val="Verdana"/>
      <scheme val="minor"/>
    </font>
    <font>
      <b/>
      <color rgb="FFFFFFFF"/>
      <name val="Verdana"/>
      <scheme val="minor"/>
    </font>
    <font>
      <b/>
      <sz val="12.0"/>
      <color theme="1"/>
      <name val="Verdana"/>
      <scheme val="minor"/>
    </font>
    <font>
      <color theme="1"/>
      <name val="Roboto"/>
    </font>
    <font>
      <b/>
      <color theme="1"/>
      <name val="Verdana"/>
      <scheme val="minor"/>
    </font>
    <font>
      <color theme="1"/>
      <name val="Arial"/>
    </font>
    <font>
      <b/>
      <sz val="12.0"/>
      <color rgb="FFFFFFFF"/>
      <name val="Verdana"/>
      <scheme val="minor"/>
    </font>
    <font>
      <color rgb="FF000000"/>
      <name val="Verdana"/>
      <scheme val="minor"/>
    </font>
    <font>
      <b/>
      <color rgb="FF000000"/>
      <name val="Roboto"/>
    </font>
    <font>
      <b/>
      <color rgb="FF000000"/>
      <name val="Verdana"/>
      <scheme val="minor"/>
    </font>
    <font>
      <b/>
      <color rgb="FF000000"/>
      <name val="Arial"/>
    </font>
    <font>
      <color rgb="FF000000"/>
      <name val="Arial"/>
    </font>
    <font>
      <color rgb="FF434343"/>
      <name val="Roboto"/>
    </font>
    <font>
      <color rgb="FF434343"/>
      <name val="Arial"/>
    </font>
    <font>
      <color rgb="FF666666"/>
      <name val="Verdana"/>
      <scheme val="minor"/>
    </font>
    <font>
      <b/>
      <color theme="1"/>
      <name val="Roboto"/>
    </font>
    <font>
      <sz val="11.0"/>
      <color rgb="FF434343"/>
      <name val="Calibri"/>
    </font>
    <font>
      <b/>
      <color theme="1"/>
      <name val="Arial"/>
    </font>
    <font>
      <color rgb="FF000000"/>
      <name val="Roboto"/>
    </font>
    <font>
      <b/>
      <sz val="10.0"/>
      <color rgb="FF000000"/>
      <name val="Arial"/>
    </font>
    <font>
      <sz val="12.0"/>
      <color theme="1"/>
      <name val="&quot;Times New Roman&quot;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0B8043"/>
        <bgColor rgb="FF0B8043"/>
      </patternFill>
    </fill>
    <fill>
      <patternFill patternType="solid">
        <fgColor rgb="FFCFE2F3"/>
        <bgColor rgb="FFCFE2F3"/>
      </patternFill>
    </fill>
    <fill>
      <patternFill patternType="solid">
        <fgColor rgb="FF57BB8A"/>
        <bgColor rgb="FF57BB8A"/>
      </patternFill>
    </fill>
    <fill>
      <patternFill patternType="solid">
        <fgColor rgb="FFC53929"/>
        <bgColor rgb="FFC53929"/>
      </patternFill>
    </fill>
  </fills>
  <borders count="6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8C352D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8C352D"/>
      </left>
      <right style="thin">
        <color rgb="FFD9D9D9"/>
      </right>
      <top style="thin">
        <color rgb="FFD9D9D9"/>
      </top>
      <bottom style="thin">
        <color rgb="FF8C352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8C352D"/>
      </bottom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0"/>
    </xf>
    <xf borderId="2" fillId="2" fontId="4" numFmtId="0" xfId="0" applyAlignment="1" applyBorder="1" applyFill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3" fontId="1" numFmtId="0" xfId="0" applyAlignment="1" applyFill="1" applyFont="1">
      <alignment horizontal="left" readingOrder="0" shrinkToFit="0" vertical="center" wrapText="0"/>
    </xf>
    <xf borderId="0" fillId="0" fontId="5" numFmtId="165" xfId="0" applyAlignment="1" applyFont="1" applyNumberFormat="1">
      <alignment horizontal="left" readingOrder="0" shrinkToFit="0" vertical="center" wrapText="0"/>
    </xf>
    <xf borderId="1" fillId="0" fontId="3" numFmtId="165" xfId="0" applyAlignment="1" applyBorder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0" fillId="3" fontId="2" numFmtId="166" xfId="0" applyAlignment="1" applyFont="1" applyNumberFormat="1">
      <alignment horizontal="left" readingOrder="0" shrinkToFit="0" vertical="center" wrapText="0"/>
    </xf>
    <xf borderId="1" fillId="0" fontId="3" numFmtId="49" xfId="0" applyAlignment="1" applyBorder="1" applyFont="1" applyNumberFormat="1">
      <alignment horizontal="left" readingOrder="0" shrinkToFit="0" vertical="center" wrapText="0"/>
    </xf>
    <xf borderId="0" fillId="0" fontId="5" numFmtId="49" xfId="0" applyAlignment="1" applyFont="1" applyNumberFormat="1">
      <alignment horizontal="left" readingOrder="0" shrinkToFit="0" vertical="center" wrapText="0"/>
    </xf>
    <xf borderId="0" fillId="2" fontId="6" numFmtId="0" xfId="0" applyAlignment="1" applyFont="1">
      <alignment vertical="bottom"/>
    </xf>
    <xf borderId="1" fillId="0" fontId="7" numFmtId="166" xfId="0" applyAlignment="1" applyBorder="1" applyFont="1" applyNumberFormat="1">
      <alignment horizontal="left" readingOrder="0" shrinkToFit="0" vertical="center" wrapText="0"/>
    </xf>
    <xf borderId="1" fillId="0" fontId="3" numFmtId="165" xfId="0" applyAlignment="1" applyBorder="1" applyFont="1" applyNumberFormat="1">
      <alignment horizontal="center" readingOrder="0" shrinkToFit="0" vertical="center" wrapText="0"/>
    </xf>
    <xf borderId="0" fillId="4" fontId="8" numFmtId="0" xfId="0" applyAlignment="1" applyFill="1" applyFont="1">
      <alignment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1" fillId="0" fontId="3" numFmtId="164" xfId="0" applyAlignment="1" applyBorder="1" applyFont="1" applyNumberFormat="1">
      <alignment horizontal="left" readingOrder="0" shrinkToFit="0" vertical="center" wrapText="0"/>
    </xf>
    <xf borderId="0" fillId="4" fontId="8" numFmtId="49" xfId="0" applyAlignment="1" applyFont="1" applyNumberFormat="1">
      <alignment readingOrder="0" shrinkToFit="0" vertical="center" wrapText="0"/>
    </xf>
    <xf borderId="1" fillId="5" fontId="9" numFmtId="165" xfId="0" applyAlignment="1" applyBorder="1" applyFill="1" applyFont="1" applyNumberFormat="1">
      <alignment shrinkToFit="0" vertical="center" wrapText="0"/>
    </xf>
    <xf borderId="0" fillId="3" fontId="1" numFmtId="0" xfId="0" applyAlignment="1" applyFont="1">
      <alignment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8" numFmtId="165" xfId="0" applyAlignment="1" applyBorder="1" applyFont="1" applyNumberFormat="1">
      <alignment readingOrder="0" shrinkToFit="0" vertical="center" wrapText="0"/>
    </xf>
    <xf borderId="1" fillId="2" fontId="5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6" fontId="10" numFmtId="0" xfId="0" applyAlignment="1" applyBorder="1" applyFill="1" applyFont="1">
      <alignment readingOrder="0" shrinkToFit="0" vertical="center" wrapText="0"/>
    </xf>
    <xf borderId="1" fillId="2" fontId="1" numFmtId="166" xfId="0" applyAlignment="1" applyBorder="1" applyFont="1" applyNumberFormat="1">
      <alignment readingOrder="0" shrinkToFit="0" vertical="center" wrapText="0"/>
    </xf>
    <xf borderId="1" fillId="6" fontId="10" numFmtId="0" xfId="0" applyAlignment="1" applyBorder="1" applyFont="1">
      <alignment readingOrder="0" shrinkToFit="0" vertical="center" wrapText="0"/>
    </xf>
    <xf borderId="1" fillId="7" fontId="2" numFmtId="166" xfId="0" applyAlignment="1" applyBorder="1" applyFill="1" applyFont="1" applyNumberFormat="1">
      <alignment readingOrder="0" shrinkToFit="0" vertical="center" wrapText="0"/>
    </xf>
    <xf borderId="1" fillId="6" fontId="11" numFmtId="0" xfId="0" applyAlignment="1" applyBorder="1" applyFont="1">
      <alignment horizontal="center" shrinkToFit="0" vertical="bottom" wrapText="0"/>
    </xf>
    <xf borderId="2" fillId="2" fontId="4" numFmtId="0" xfId="0" applyAlignment="1" applyBorder="1" applyFont="1">
      <alignment shrinkToFit="0" vertical="center" wrapText="0"/>
    </xf>
    <xf borderId="1" fillId="6" fontId="10" numFmtId="0" xfId="0" applyAlignment="1" applyBorder="1" applyFont="1">
      <alignment horizontal="center" readingOrder="0" shrinkToFit="0" vertical="center" wrapText="0"/>
    </xf>
    <xf borderId="1" fillId="6" fontId="10" numFmtId="0" xfId="0" applyAlignment="1" applyBorder="1" applyFont="1">
      <alignment horizontal="center" readingOrder="0" shrinkToFit="0" vertical="center" wrapText="0"/>
    </xf>
    <xf borderId="0" fillId="2" fontId="8" numFmtId="49" xfId="0" applyAlignment="1" applyFont="1" applyNumberFormat="1">
      <alignment readingOrder="0" shrinkToFit="0" vertical="center" wrapText="0"/>
    </xf>
    <xf borderId="1" fillId="6" fontId="10" numFmtId="164" xfId="0" applyAlignment="1" applyBorder="1" applyFont="1" applyNumberFormat="1">
      <alignment readingOrder="0" shrinkToFit="0" vertical="center" wrapText="0"/>
    </xf>
    <xf borderId="3" fillId="2" fontId="4" numFmtId="165" xfId="0" applyAlignment="1" applyBorder="1" applyFont="1" applyNumberFormat="1">
      <alignment horizontal="right" shrinkToFit="0" vertical="center" wrapText="0"/>
    </xf>
    <xf borderId="0" fillId="4" fontId="1" numFmtId="0" xfId="0" applyAlignment="1" applyFont="1">
      <alignment shrinkToFit="0" vertical="center" wrapText="0"/>
    </xf>
    <xf borderId="1" fillId="6" fontId="5" numFmtId="166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0" fillId="2" fontId="8" numFmtId="166" xfId="0" applyAlignment="1" applyFont="1" applyNumberFormat="1">
      <alignment readingOrder="0" shrinkToFit="0" vertical="center" wrapText="0"/>
    </xf>
    <xf borderId="0" fillId="2" fontId="10" numFmtId="166" xfId="0" applyAlignment="1" applyFont="1" applyNumberFormat="1">
      <alignment shrinkToFit="0" vertical="center" wrapText="0"/>
    </xf>
    <xf borderId="0" fillId="2" fontId="12" numFmtId="0" xfId="0" applyAlignment="1" applyFont="1">
      <alignment vertical="bottom"/>
    </xf>
    <xf borderId="1" fillId="7" fontId="2" numFmtId="166" xfId="0" applyAlignment="1" applyBorder="1" applyFont="1" applyNumberFormat="1">
      <alignment shrinkToFit="0" vertical="center" wrapText="0"/>
    </xf>
    <xf borderId="1" fillId="6" fontId="10" numFmtId="165" xfId="0" applyAlignment="1" applyBorder="1" applyFont="1" applyNumberFormat="1">
      <alignment horizontal="center" readingOrder="0" shrinkToFit="0" vertical="center" wrapText="0"/>
    </xf>
    <xf borderId="1" fillId="8" fontId="8" numFmtId="0" xfId="0" applyAlignment="1" applyBorder="1" applyFill="1" applyFont="1">
      <alignment readingOrder="0" shrinkToFit="0" vertical="center" wrapText="0"/>
    </xf>
    <xf borderId="1" fillId="9" fontId="9" numFmtId="0" xfId="0" applyAlignment="1" applyBorder="1" applyFill="1" applyFont="1">
      <alignment readingOrder="0" shrinkToFit="0" vertical="center" wrapText="0"/>
    </xf>
    <xf borderId="3" fillId="2" fontId="4" numFmtId="166" xfId="0" applyAlignment="1" applyBorder="1" applyFont="1" applyNumberFormat="1">
      <alignment readingOrder="0" shrinkToFit="0" vertical="center" wrapText="0"/>
    </xf>
    <xf borderId="1" fillId="8" fontId="8" numFmtId="0" xfId="0" applyAlignment="1" applyBorder="1" applyFont="1">
      <alignment readingOrder="0" shrinkToFit="0" vertical="center" wrapText="0"/>
    </xf>
    <xf borderId="1" fillId="8" fontId="8" numFmtId="165" xfId="0" applyAlignment="1" applyBorder="1" applyFont="1" applyNumberFormat="1">
      <alignment readingOrder="0" shrinkToFit="0" vertical="center" wrapText="0"/>
    </xf>
    <xf borderId="1" fillId="10" fontId="9" numFmtId="0" xfId="0" applyAlignment="1" applyBorder="1" applyFill="1" applyFont="1">
      <alignment readingOrder="0" shrinkToFit="0" vertical="center" wrapText="0"/>
    </xf>
    <xf borderId="1" fillId="8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9" fontId="9" numFmtId="165" xfId="0" applyAlignment="1" applyBorder="1" applyFont="1" applyNumberFormat="1">
      <alignment shrinkToFit="0" vertical="center" wrapText="0"/>
    </xf>
    <xf borderId="1" fillId="6" fontId="11" numFmtId="0" xfId="0" applyAlignment="1" applyBorder="1" applyFont="1">
      <alignment horizontal="center" readingOrder="0" shrinkToFit="0" vertical="bottom" wrapText="0"/>
    </xf>
    <xf borderId="1" fillId="6" fontId="11" numFmtId="0" xfId="0" applyAlignment="1" applyBorder="1" applyFont="1">
      <alignment readingOrder="0" shrinkToFit="0" vertical="bottom" wrapText="0"/>
    </xf>
    <xf borderId="1" fillId="6" fontId="11" numFmtId="0" xfId="0" applyAlignment="1" applyBorder="1" applyFont="1">
      <alignment readingOrder="0" shrinkToFit="0" vertical="bottom" wrapText="0"/>
    </xf>
    <xf borderId="1" fillId="8" fontId="8" numFmtId="0" xfId="0" applyAlignment="1" applyBorder="1" applyFont="1">
      <alignment shrinkToFit="0" vertical="center" wrapText="0"/>
    </xf>
    <xf borderId="1" fillId="6" fontId="11" numFmtId="165" xfId="0" applyAlignment="1" applyBorder="1" applyFont="1" applyNumberFormat="1">
      <alignment horizontal="center" readingOrder="0" shrinkToFit="0" vertical="bottom" wrapText="0"/>
    </xf>
    <xf borderId="1" fillId="6" fontId="11" numFmtId="0" xfId="0" applyAlignment="1" applyBorder="1" applyFont="1">
      <alignment horizontal="center" readingOrder="0" shrinkToFit="0" vertical="bottom" wrapText="0"/>
    </xf>
    <xf borderId="1" fillId="10" fontId="9" numFmtId="165" xfId="0" applyAlignment="1" applyBorder="1" applyFont="1" applyNumberFormat="1">
      <alignment shrinkToFit="0" vertical="center" wrapText="0"/>
    </xf>
    <xf borderId="1" fillId="2" fontId="8" numFmtId="0" xfId="0" applyAlignment="1" applyBorder="1" applyFont="1">
      <alignment shrinkToFit="0" vertical="center" wrapText="0"/>
    </xf>
    <xf borderId="0" fillId="2" fontId="8" numFmtId="49" xfId="0" applyAlignment="1" applyFont="1" applyNumberFormat="1">
      <alignment shrinkToFit="0" vertical="center" wrapText="0"/>
    </xf>
    <xf borderId="0" fillId="0" fontId="12" numFmtId="0" xfId="0" applyAlignment="1" applyFont="1">
      <alignment vertical="bottom"/>
    </xf>
    <xf borderId="2" fillId="8" fontId="4" numFmtId="0" xfId="0" applyAlignment="1" applyBorder="1" applyFont="1">
      <alignment shrinkToFit="0" vertical="center" wrapText="0"/>
    </xf>
    <xf borderId="0" fillId="8" fontId="8" numFmtId="49" xfId="0" applyAlignment="1" applyFont="1" applyNumberFormat="1">
      <alignment shrinkToFit="0" vertical="center" wrapText="0"/>
    </xf>
    <xf borderId="3" fillId="8" fontId="4" numFmtId="165" xfId="0" applyAlignment="1" applyBorder="1" applyFont="1" applyNumberFormat="1">
      <alignment horizontal="right" shrinkToFit="0" vertical="center" wrapText="0"/>
    </xf>
    <xf borderId="0" fillId="8" fontId="8" numFmtId="0" xfId="0" applyAlignment="1" applyFont="1">
      <alignment readingOrder="0" shrinkToFit="0" vertical="center" wrapText="0"/>
    </xf>
    <xf borderId="3" fillId="8" fontId="4" numFmtId="166" xfId="0" applyAlignment="1" applyBorder="1" applyFont="1" applyNumberFormat="1">
      <alignment readingOrder="0" shrinkToFit="0" vertical="center" wrapText="0"/>
    </xf>
    <xf borderId="2" fillId="2" fontId="13" numFmtId="0" xfId="0" applyAlignment="1" applyBorder="1" applyFont="1">
      <alignment shrinkToFit="0" vertical="center" wrapText="0"/>
    </xf>
    <xf borderId="0" fillId="2" fontId="1" numFmtId="49" xfId="0" applyAlignment="1" applyFont="1" applyNumberFormat="1">
      <alignment shrinkToFit="0" vertical="center" wrapText="0"/>
    </xf>
    <xf borderId="1" fillId="2" fontId="12" numFmtId="0" xfId="0" applyAlignment="1" applyBorder="1" applyFont="1">
      <alignment readingOrder="0" shrinkToFit="0" vertical="bottom" wrapText="0"/>
    </xf>
    <xf borderId="3" fillId="2" fontId="13" numFmtId="165" xfId="0" applyAlignment="1" applyBorder="1" applyFont="1" applyNumberFormat="1">
      <alignment horizontal="right" shrinkToFit="0" vertical="center" wrapText="0"/>
    </xf>
    <xf borderId="1" fillId="10" fontId="11" numFmtId="0" xfId="0" applyAlignment="1" applyBorder="1" applyFont="1">
      <alignment readingOrder="0" shrinkToFit="0" vertical="bottom" wrapText="0"/>
    </xf>
    <xf borderId="0" fillId="2" fontId="1" numFmtId="0" xfId="0" applyAlignment="1" applyFont="1">
      <alignment readingOrder="0" shrinkToFit="0" vertical="center" wrapText="0"/>
    </xf>
    <xf borderId="1" fillId="2" fontId="6" numFmtId="0" xfId="0" applyAlignment="1" applyBorder="1" applyFont="1">
      <alignment horizontal="left" shrinkToFit="0" vertical="bottom" wrapText="0"/>
    </xf>
    <xf borderId="3" fillId="2" fontId="13" numFmtId="166" xfId="0" applyAlignment="1" applyBorder="1" applyFont="1" applyNumberFormat="1">
      <alignment readingOrder="0" shrinkToFit="0" vertical="center" wrapText="0"/>
    </xf>
    <xf borderId="0" fillId="0" fontId="6" numFmtId="0" xfId="0" applyAlignment="1" applyFont="1">
      <alignment vertical="bottom"/>
    </xf>
    <xf borderId="0" fillId="8" fontId="8" numFmtId="49" xfId="0" applyAlignment="1" applyFont="1" applyNumberFormat="1">
      <alignment readingOrder="0" shrinkToFit="0" vertical="center" wrapText="0"/>
    </xf>
    <xf borderId="0" fillId="0" fontId="8" numFmtId="0" xfId="0" applyFont="1"/>
    <xf borderId="1" fillId="10" fontId="11" numFmtId="165" xfId="0" applyAlignment="1" applyBorder="1" applyFont="1" applyNumberFormat="1">
      <alignment shrinkToFit="0" vertical="bottom" wrapText="0"/>
    </xf>
    <xf borderId="0" fillId="2" fontId="1" numFmtId="0" xfId="0" applyAlignment="1" applyFont="1">
      <alignment shrinkToFit="0" vertical="center" wrapText="0"/>
    </xf>
    <xf borderId="1" fillId="2" fontId="14" numFmtId="0" xfId="0" applyAlignment="1" applyBorder="1" applyFont="1">
      <alignment horizontal="left" shrinkToFit="0" vertical="bottom" wrapText="0"/>
    </xf>
    <xf borderId="1" fillId="8" fontId="1" numFmtId="0" xfId="0" applyAlignment="1" applyBorder="1" applyFont="1">
      <alignment readingOrder="0" shrinkToFit="0" vertical="center" wrapText="0"/>
    </xf>
    <xf borderId="1" fillId="8" fontId="1" numFmtId="165" xfId="0" applyAlignment="1" applyBorder="1" applyFont="1" applyNumberFormat="1">
      <alignment readingOrder="0" shrinkToFit="0" vertical="center" wrapText="0"/>
    </xf>
    <xf borderId="1" fillId="8" fontId="1" numFmtId="0" xfId="0" applyAlignment="1" applyBorder="1" applyFont="1">
      <alignment readingOrder="0" shrinkToFit="0" vertical="center" wrapText="0"/>
    </xf>
    <xf borderId="2" fillId="8" fontId="13" numFmtId="0" xfId="0" applyAlignment="1" applyBorder="1" applyFont="1">
      <alignment shrinkToFit="0" vertical="center" wrapText="0"/>
    </xf>
    <xf borderId="1" fillId="8" fontId="15" numFmtId="165" xfId="0" applyAlignment="1" applyBorder="1" applyFont="1" applyNumberFormat="1">
      <alignment readingOrder="0" shrinkToFit="0" vertical="center" wrapText="0"/>
    </xf>
    <xf borderId="0" fillId="8" fontId="1" numFmtId="49" xfId="0" applyAlignment="1" applyFont="1" applyNumberFormat="1">
      <alignment readingOrder="0" shrinkToFit="0" vertical="center" wrapText="0"/>
    </xf>
    <xf borderId="1" fillId="2" fontId="15" numFmtId="0" xfId="0" applyAlignment="1" applyBorder="1" applyFont="1">
      <alignment shrinkToFit="0" vertical="center" wrapText="0"/>
    </xf>
    <xf borderId="3" fillId="8" fontId="13" numFmtId="165" xfId="0" applyAlignment="1" applyBorder="1" applyFont="1" applyNumberFormat="1">
      <alignment horizontal="right" shrinkToFit="0" vertical="center" wrapText="0"/>
    </xf>
    <xf borderId="0" fillId="8" fontId="1" numFmtId="0" xfId="0" applyAlignment="1" applyFont="1">
      <alignment readingOrder="0" shrinkToFit="0" vertical="center" wrapText="0"/>
    </xf>
    <xf borderId="3" fillId="8" fontId="13" numFmtId="166" xfId="0" applyAlignment="1" applyBorder="1" applyFont="1" applyNumberForma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8" fontId="1" numFmtId="49" xfId="0" applyAlignment="1" applyFont="1" applyNumberFormat="1">
      <alignment shrinkToFit="0" vertical="center" wrapText="0"/>
    </xf>
    <xf borderId="1" fillId="2" fontId="1" numFmtId="165" xfId="0" applyAlignment="1" applyBorder="1" applyFont="1" applyNumberFormat="1">
      <alignment readingOrder="0" shrinkToFit="0" vertical="center" wrapText="0"/>
    </xf>
    <xf borderId="0" fillId="8" fontId="1" numFmtId="0" xfId="0" applyAlignment="1" applyFont="1">
      <alignment shrinkToFit="0" vertical="center" wrapText="0"/>
    </xf>
    <xf borderId="0" fillId="2" fontId="1" numFmtId="49" xfId="0" applyAlignment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2" fillId="8" fontId="16" numFmtId="0" xfId="0" applyAlignment="1" applyBorder="1" applyFont="1">
      <alignment shrinkToFit="0" vertical="center" wrapText="0"/>
    </xf>
    <xf borderId="0" fillId="8" fontId="10" numFmtId="49" xfId="0" applyAlignment="1" applyFont="1" applyNumberFormat="1">
      <alignment shrinkToFit="0" vertical="center" wrapText="0"/>
    </xf>
    <xf borderId="3" fillId="8" fontId="16" numFmtId="165" xfId="0" applyAlignment="1" applyBorder="1" applyFont="1" applyNumberFormat="1">
      <alignment horizontal="right" shrinkToFit="0" vertical="center" wrapText="0"/>
    </xf>
    <xf borderId="0" fillId="2" fontId="10" numFmtId="0" xfId="0" applyAlignment="1" applyFont="1">
      <alignment shrinkToFit="0" vertical="center" wrapText="0"/>
    </xf>
    <xf borderId="3" fillId="8" fontId="16" numFmtId="166" xfId="0" applyAlignment="1" applyBorder="1" applyFont="1" applyNumberFormat="1">
      <alignment readingOrder="0" shrinkToFit="0" vertical="center" wrapText="0"/>
    </xf>
    <xf borderId="0" fillId="0" fontId="11" numFmtId="0" xfId="0" applyAlignment="1" applyFont="1">
      <alignment vertical="bottom"/>
    </xf>
    <xf borderId="0" fillId="0" fontId="10" numFmtId="0" xfId="0" applyFont="1"/>
    <xf borderId="1" fillId="2" fontId="1" numFmtId="0" xfId="0" applyAlignment="1" applyBorder="1" applyFont="1">
      <alignment horizontal="left" readingOrder="0" shrinkToFit="0" vertical="center" wrapText="0"/>
    </xf>
    <xf borderId="0" fillId="2" fontId="10" numFmtId="0" xfId="0" applyAlignment="1" applyFont="1">
      <alignment readingOrder="0" shrinkToFit="0" vertical="center" wrapText="0"/>
    </xf>
    <xf borderId="3" fillId="2" fontId="13" numFmtId="49" xfId="0" applyAlignment="1" applyBorder="1" applyFont="1" applyNumberFormat="1">
      <alignment shrinkToFit="0" vertical="center" wrapText="0"/>
    </xf>
    <xf borderId="3" fillId="2" fontId="6" numFmtId="0" xfId="0" applyAlignment="1" applyBorder="1" applyFont="1">
      <alignment shrinkToFit="0" vertical="center" wrapText="0"/>
    </xf>
    <xf borderId="3" fillId="2" fontId="14" numFmtId="166" xfId="0" applyAlignment="1" applyBorder="1" applyFont="1" applyNumberFormat="1">
      <alignment readingOrder="0" shrinkToFit="0" vertical="center" wrapText="0"/>
    </xf>
    <xf borderId="0" fillId="2" fontId="1" numFmtId="0" xfId="0" applyFont="1"/>
    <xf borderId="1" fillId="8" fontId="1" numFmtId="0" xfId="0" applyAlignment="1" applyBorder="1" applyFont="1">
      <alignment shrinkToFit="0" vertical="center" wrapText="0"/>
    </xf>
    <xf borderId="1" fillId="0" fontId="10" numFmtId="0" xfId="0" applyAlignment="1" applyBorder="1" applyFont="1">
      <alignment readingOrder="0" shrinkToFit="0" vertical="center" wrapText="0"/>
    </xf>
    <xf borderId="3" fillId="8" fontId="17" numFmtId="165" xfId="0" applyAlignment="1" applyBorder="1" applyFont="1" applyNumberFormat="1">
      <alignment horizontal="right" shrinkToFit="0" vertical="center" wrapText="0"/>
    </xf>
    <xf borderId="3" fillId="2" fontId="17" numFmtId="165" xfId="0" applyAlignment="1" applyBorder="1" applyFont="1" applyNumberFormat="1">
      <alignment horizontal="right" shrinkToFit="0" vertical="center" wrapText="0"/>
    </xf>
    <xf borderId="2" fillId="2" fontId="6" numFmtId="0" xfId="0" applyAlignment="1" applyBorder="1" applyFont="1">
      <alignment shrinkToFit="0" vertical="center" wrapText="0"/>
    </xf>
    <xf borderId="3" fillId="2" fontId="6" numFmtId="165" xfId="0" applyAlignment="1" applyBorder="1" applyFont="1" applyNumberFormat="1">
      <alignment shrinkToFit="0" vertical="center" wrapText="0"/>
    </xf>
    <xf borderId="1" fillId="8" fontId="8" numFmtId="0" xfId="0" applyAlignment="1" applyBorder="1" applyFont="1">
      <alignment readingOrder="0" shrinkToFit="0" vertical="center" wrapText="0"/>
    </xf>
    <xf borderId="0" fillId="2" fontId="8" numFmtId="0" xfId="0" applyAlignment="1" applyFont="1">
      <alignment readingOrder="0" shrinkToFit="0" vertical="center" wrapText="0"/>
    </xf>
    <xf borderId="0" fillId="8" fontId="1" numFmtId="49" xfId="0" applyAlignment="1" applyFont="1" applyNumberFormat="1">
      <alignment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8" fontId="1" numFmtId="0" xfId="0" applyAlignment="1" applyFont="1">
      <alignment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3" fillId="8" fontId="13" numFmtId="165" xfId="0" applyAlignment="1" applyBorder="1" applyFont="1" applyNumberFormat="1">
      <alignment horizontal="right" readingOrder="0" shrinkToFit="0" vertical="center" wrapText="0"/>
    </xf>
    <xf borderId="4" fillId="8" fontId="13" numFmtId="0" xfId="0" applyAlignment="1" applyBorder="1" applyFont="1">
      <alignment shrinkToFit="0" vertical="center" wrapText="0"/>
    </xf>
    <xf borderId="5" fillId="8" fontId="13" numFmtId="165" xfId="0" applyAlignment="1" applyBorder="1" applyFont="1" applyNumberFormat="1">
      <alignment horizontal="right" readingOrder="0" shrinkToFit="0" vertical="center" wrapText="0"/>
    </xf>
    <xf borderId="5" fillId="8" fontId="13" numFmtId="166" xfId="0" applyAlignment="1" applyBorder="1" applyFont="1" applyNumberFormat="1">
      <alignment readingOrder="0" shrinkToFit="0" vertical="center" wrapText="0"/>
    </xf>
    <xf borderId="0" fillId="8" fontId="13" numFmtId="0" xfId="0" applyAlignment="1" applyFont="1">
      <alignment readingOrder="0" shrinkToFit="0" vertical="center" wrapText="0"/>
    </xf>
    <xf borderId="0" fillId="8" fontId="13" numFmtId="165" xfId="0" applyAlignment="1" applyFont="1" applyNumberFormat="1">
      <alignment horizontal="right" readingOrder="0" shrinkToFit="0" vertical="center" wrapText="0"/>
    </xf>
    <xf borderId="0" fillId="8" fontId="13" numFmtId="166" xfId="0" applyAlignment="1" applyFont="1" applyNumberFormat="1">
      <alignment readingOrder="0" shrinkToFit="0" vertical="center" wrapText="0"/>
    </xf>
    <xf borderId="1" fillId="8" fontId="6" numFmtId="0" xfId="0" applyAlignment="1" applyBorder="1" applyFont="1">
      <alignment shrinkToFit="0" vertical="bottom" wrapText="0"/>
    </xf>
    <xf borderId="0" fillId="0" fontId="18" numFmtId="166" xfId="0" applyAlignment="1" applyFont="1" applyNumberFormat="1">
      <alignment vertical="bottom"/>
    </xf>
    <xf borderId="1" fillId="2" fontId="6" numFmtId="0" xfId="0" applyAlignment="1" applyBorder="1" applyFont="1">
      <alignment shrinkToFit="0" vertical="bottom" wrapText="0"/>
    </xf>
    <xf borderId="1" fillId="8" fontId="19" numFmtId="165" xfId="0" applyAlignment="1" applyBorder="1" applyFont="1" applyNumberFormat="1">
      <alignment shrinkToFit="0" vertical="center" wrapText="0"/>
    </xf>
    <xf borderId="1" fillId="8" fontId="12" numFmtId="0" xfId="0" applyAlignment="1" applyBorder="1" applyFont="1">
      <alignment readingOrder="0" shrinkToFit="0" vertical="bottom" wrapText="0"/>
    </xf>
    <xf borderId="1" fillId="8" fontId="5" numFmtId="0" xfId="0" applyAlignment="1" applyBorder="1" applyFont="1">
      <alignment readingOrder="0" shrinkToFit="0" vertical="center" wrapText="0"/>
    </xf>
    <xf borderId="1" fillId="2" fontId="19" numFmtId="165" xfId="0" applyAlignment="1" applyBorder="1" applyFont="1" applyNumberFormat="1">
      <alignment shrinkToFit="0" vertical="center" wrapText="0"/>
    </xf>
    <xf borderId="0" fillId="8" fontId="5" numFmtId="0" xfId="0" applyAlignment="1" applyFon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1" fillId="8" fontId="11" numFmtId="0" xfId="0" applyAlignment="1" applyBorder="1" applyFont="1">
      <alignment readingOrder="0" shrinkToFit="0" vertical="center" wrapText="0"/>
    </xf>
    <xf borderId="1" fillId="5" fontId="11" numFmtId="165" xfId="0" applyAlignment="1" applyBorder="1" applyFont="1" applyNumberFormat="1">
      <alignment shrinkToFit="0" vertical="center" wrapText="0"/>
    </xf>
    <xf borderId="1" fillId="8" fontId="1" numFmtId="0" xfId="0" applyAlignment="1" applyBorder="1" applyFont="1">
      <alignment horizontal="left" readingOrder="0" shrinkToFit="0" vertical="center" wrapText="0"/>
    </xf>
    <xf borderId="1" fillId="8" fontId="1" numFmtId="0" xfId="0" applyAlignment="1" applyBorder="1" applyFont="1">
      <alignment shrinkToFit="0" vertical="center" wrapText="0"/>
    </xf>
    <xf borderId="0" fillId="8" fontId="11" numFmtId="0" xfId="0" applyAlignment="1" applyFont="1">
      <alignment readingOrder="0" shrinkToFit="0" vertical="center" wrapText="0"/>
    </xf>
    <xf borderId="0" fillId="5" fontId="11" numFmtId="0" xfId="0" applyAlignment="1" applyFont="1">
      <alignment readingOrder="0" shrinkToFit="0" vertical="center" wrapText="0"/>
    </xf>
    <xf borderId="0" fillId="8" fontId="1" numFmtId="0" xfId="0" applyAlignment="1" applyFont="1">
      <alignment shrinkToFit="0" vertical="center" wrapText="0"/>
    </xf>
    <xf borderId="0" fillId="8" fontId="1" numFmtId="165" xfId="0" applyAlignment="1" applyFont="1" applyNumberFormat="1">
      <alignment readingOrder="0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2" fontId="1" numFmtId="166" xfId="0" applyAlignment="1" applyFont="1" applyNumberFormat="1">
      <alignment readingOrder="0" shrinkToFit="0" vertical="center" wrapText="0"/>
    </xf>
    <xf borderId="0" fillId="7" fontId="2" numFmtId="166" xfId="0" applyAlignment="1" applyFont="1" applyNumberForma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6" fontId="20" numFmtId="0" xfId="0" applyAlignment="1" applyBorder="1" applyFont="1">
      <alignment readingOrder="0" shrinkToFit="0" vertical="center" wrapText="0"/>
    </xf>
    <xf borderId="1" fillId="6" fontId="20" numFmtId="165" xfId="0" applyAlignment="1" applyBorder="1" applyFont="1" applyNumberFormat="1">
      <alignment horizontal="center" readingOrder="0" shrinkToFit="0" vertical="center" wrapText="0"/>
    </xf>
    <xf borderId="1" fillId="6" fontId="20" numFmtId="0" xfId="0" applyAlignment="1" applyBorder="1" applyFont="1">
      <alignment horizontal="center" readingOrder="0" shrinkToFit="0" vertical="center" wrapText="0"/>
    </xf>
    <xf borderId="1" fillId="6" fontId="9" numFmtId="0" xfId="0" applyAlignment="1" applyBorder="1" applyFont="1">
      <alignment readingOrder="0" shrinkToFit="0" vertical="center" wrapText="0"/>
    </xf>
    <xf borderId="1" fillId="6" fontId="9" numFmtId="0" xfId="0" applyAlignment="1" applyBorder="1" applyFont="1">
      <alignment shrinkToFit="0" vertical="center" wrapText="0"/>
    </xf>
    <xf borderId="1" fillId="6" fontId="9" numFmtId="165" xfId="0" applyAlignment="1" applyBorder="1" applyFont="1" applyNumberFormat="1">
      <alignment horizontal="center" shrinkToFit="0" vertical="center" wrapText="0"/>
    </xf>
    <xf borderId="1" fillId="6" fontId="9" numFmtId="0" xfId="0" applyAlignment="1" applyBorder="1" applyFont="1">
      <alignment horizontal="center" shrinkToFit="0" vertical="center" wrapText="0"/>
    </xf>
    <xf borderId="1" fillId="6" fontId="9" numFmtId="164" xfId="0" applyAlignment="1" applyBorder="1" applyFont="1" applyNumberFormat="1">
      <alignment horizontal="right" shrinkToFit="0" vertical="center" wrapText="0"/>
    </xf>
    <xf borderId="0" fillId="8" fontId="10" numFmtId="0" xfId="0" applyAlignment="1" applyFont="1">
      <alignment readingOrder="0" shrinkToFit="0" vertical="center" wrapText="0"/>
    </xf>
    <xf borderId="1" fillId="6" fontId="11" numFmtId="0" xfId="0" applyAlignment="1" applyBorder="1" applyFont="1">
      <alignment horizontal="left" readingOrder="0" shrinkToFit="0" vertical="bottom" wrapText="0"/>
    </xf>
    <xf borderId="1" fillId="2" fontId="10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0" fillId="6" fontId="5" numFmtId="166" xfId="0" applyAlignment="1" applyFont="1" applyNumberFormat="1">
      <alignment readingOrder="0" shrinkToFit="0" vertical="center" wrapText="0"/>
    </xf>
    <xf borderId="0" fillId="0" fontId="21" numFmtId="166" xfId="0" applyAlignment="1" applyFont="1" applyNumberFormat="1">
      <alignment readingOrder="0" shrinkToFit="0" vertical="center" wrapText="0"/>
    </xf>
    <xf borderId="1" fillId="2" fontId="5" numFmtId="0" xfId="0" applyAlignment="1" applyBorder="1" applyFont="1">
      <alignment readingOrder="0" shrinkToFit="0" vertical="center" wrapText="0"/>
    </xf>
    <xf borderId="1" fillId="8" fontId="5" numFmtId="0" xfId="0" applyAlignment="1" applyBorder="1" applyFont="1">
      <alignment readingOrder="0" shrinkToFit="0" vertical="center" wrapText="0"/>
    </xf>
    <xf borderId="1" fillId="8" fontId="1" numFmtId="166" xfId="0" applyAlignment="1" applyBorder="1" applyFont="1" applyNumberFormat="1">
      <alignment readingOrder="0" shrinkToFit="0" vertical="center" wrapText="0"/>
    </xf>
    <xf borderId="0" fillId="6" fontId="10" numFmtId="0" xfId="0" applyAlignment="1" applyFont="1">
      <alignment readingOrder="0" shrinkToFit="0" vertical="center" wrapText="0"/>
    </xf>
    <xf borderId="0" fillId="6" fontId="10" numFmtId="0" xfId="0" applyAlignment="1" applyFont="1">
      <alignment readingOrder="0" shrinkToFit="0" vertical="center" wrapText="0"/>
    </xf>
    <xf borderId="0" fillId="6" fontId="11" numFmtId="0" xfId="0" applyAlignment="1" applyFont="1">
      <alignment horizontal="center" shrinkToFit="0" vertical="bottom" wrapText="0"/>
    </xf>
    <xf borderId="0" fillId="6" fontId="10" numFmtId="165" xfId="0" applyAlignment="1" applyFont="1" applyNumberFormat="1">
      <alignment horizontal="center" readingOrder="0" shrinkToFit="0" vertical="center" wrapText="0"/>
    </xf>
    <xf borderId="0" fillId="6" fontId="10" numFmtId="0" xfId="0" applyAlignment="1" applyFont="1">
      <alignment horizontal="center" readingOrder="0" shrinkToFit="0" vertical="center" wrapText="0"/>
    </xf>
    <xf borderId="0" fillId="6" fontId="10" numFmtId="164" xfId="0" applyAlignment="1" applyFont="1" applyNumberFormat="1">
      <alignment readingOrder="0" shrinkToFit="0" vertical="center" wrapText="0"/>
    </xf>
    <xf borderId="0" fillId="2" fontId="1" numFmtId="0" xfId="0" applyAlignment="1" applyFont="1">
      <alignment shrinkToFit="0" vertical="center" wrapText="0"/>
    </xf>
  </cellXfs>
  <cellStyles count="1">
    <cellStyle xfId="0" name="Normal" builtinId="0"/>
  </cellStyles>
  <dxfs count="41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4A86E8"/>
      </font>
      <fill>
        <patternFill patternType="solid">
          <fgColor rgb="FFFFFFFF"/>
          <bgColor rgb="FFFFFFFF"/>
        </patternFill>
      </fill>
      <border/>
    </dxf>
    <dxf>
      <font>
        <color rgb="FF135200"/>
      </font>
      <fill>
        <patternFill patternType="solid">
          <fgColor rgb="FFD9F7BE"/>
          <bgColor rgb="FFD9F7BE"/>
        </patternFill>
      </fill>
      <border/>
    </dxf>
    <dxf>
      <font>
        <color rgb="FF820014"/>
      </font>
      <fill>
        <patternFill patternType="solid">
          <fgColor rgb="FFFFA39E"/>
          <bgColor rgb="FFFFA39E"/>
        </patternFill>
      </fill>
      <border/>
    </dxf>
    <dxf>
      <font>
        <b/>
        <color rgb="FF11734B"/>
      </font>
      <fill>
        <patternFill patternType="solid">
          <fgColor rgb="FFEFEFEF"/>
          <bgColor rgb="FFEFEFEF"/>
        </patternFill>
      </fill>
      <border/>
    </dxf>
    <dxf>
      <font>
        <b/>
        <color rgb="FFFF0000"/>
      </font>
      <fill>
        <patternFill patternType="solid">
          <fgColor rgb="FF434343"/>
          <bgColor rgb="FF434343"/>
        </patternFill>
      </fill>
      <border/>
    </dxf>
    <dxf>
      <font>
        <b/>
        <color rgb="FF000000"/>
      </font>
      <fill>
        <patternFill patternType="solid">
          <fgColor rgb="FFFFF2CC"/>
          <bgColor rgb="FFFFF2CC"/>
        </patternFill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F9900"/>
          <bgColor rgb="FFFF9900"/>
        </patternFill>
      </fill>
      <border/>
    </dxf>
    <dxf>
      <font>
        <color rgb="FFFFFFFF"/>
      </font>
      <fill>
        <patternFill patternType="solid">
          <fgColor rgb="FF6D9EEB"/>
          <bgColor rgb="FF6D9EEB"/>
        </patternFill>
      </fill>
      <border/>
    </dxf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FFCFC9"/>
          <bgColor rgb="FFFFCFC9"/>
        </patternFill>
      </fill>
      <border/>
    </dxf>
    <dxf>
      <font>
        <color rgb="FFFFFFFF"/>
      </font>
      <fill>
        <patternFill patternType="solid">
          <fgColor rgb="FFC07D18"/>
          <bgColor rgb="FFC07D18"/>
        </patternFill>
      </fill>
      <border/>
    </dxf>
    <dxf>
      <font/>
      <fill>
        <patternFill patternType="solid">
          <fgColor rgb="FF15C2ED"/>
          <bgColor rgb="FF15C2ED"/>
        </patternFill>
      </fill>
      <border/>
    </dxf>
    <dxf>
      <font>
        <color rgb="FFFFFFFF"/>
      </font>
      <fill>
        <patternFill patternType="solid">
          <fgColor rgb="FF5A3286"/>
          <bgColor rgb="FF5A3286"/>
        </patternFill>
      </fill>
      <border/>
    </dxf>
    <dxf>
      <font>
        <color rgb="FFFFFFFF"/>
      </font>
      <fill>
        <patternFill patternType="solid">
          <fgColor rgb="FFD42A90"/>
          <bgColor rgb="FFD42A90"/>
        </patternFill>
      </fill>
      <border/>
    </dxf>
    <dxf>
      <font>
        <color rgb="FFFFFFFF"/>
      </font>
      <fill>
        <patternFill patternType="solid">
          <fgColor rgb="FFB08F7F"/>
          <bgColor rgb="FFB08F7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rgb="FFFFFFFF"/>
      </font>
      <fill>
        <patternFill patternType="solid">
          <fgColor rgb="FFA6D5D0"/>
          <bgColor rgb="FFA6D5D0"/>
        </patternFill>
      </fill>
      <border/>
    </dxf>
    <dxf>
      <font>
        <color rgb="FF000000"/>
      </font>
      <fill>
        <patternFill patternType="solid">
          <fgColor rgb="FFC5CEDB"/>
          <bgColor rgb="FFC5CEDB"/>
        </patternFill>
      </fill>
      <border/>
    </dxf>
    <dxf>
      <font>
        <color rgb="FFEFEFEF"/>
      </font>
      <fill>
        <patternFill patternType="solid">
          <fgColor rgb="FFA08B8A"/>
          <bgColor rgb="FFA08B8A"/>
        </patternFill>
      </fill>
      <border/>
    </dxf>
    <dxf>
      <font>
        <b/>
        <color rgb="FFD9D9D9"/>
      </font>
      <fill>
        <patternFill patternType="solid">
          <fgColor rgb="FF523790"/>
          <bgColor rgb="FF523790"/>
        </patternFill>
      </fill>
      <border/>
    </dxf>
    <dxf>
      <font>
        <color rgb="FFEFEFEF"/>
      </font>
      <fill>
        <patternFill patternType="solid">
          <fgColor rgb="FF11734B"/>
          <bgColor rgb="FF11734B"/>
        </patternFill>
      </fill>
      <border/>
    </dxf>
    <dxf>
      <font>
        <color rgb="FFEFEFEF"/>
      </font>
      <fill>
        <patternFill patternType="solid">
          <fgColor rgb="FFFF9900"/>
          <bgColor rgb="FFFF9900"/>
        </patternFill>
      </fill>
      <border/>
    </dxf>
    <dxf>
      <font>
        <color rgb="FFEFEFEF"/>
      </font>
      <fill>
        <patternFill patternType="solid">
          <fgColor rgb="FF9900FF"/>
          <bgColor rgb="FF9900FF"/>
        </patternFill>
      </fill>
      <border/>
    </dxf>
    <dxf>
      <font>
        <color rgb="FFEFEFEF"/>
      </font>
      <fill>
        <patternFill patternType="solid">
          <fgColor rgb="FFDE4444"/>
          <bgColor rgb="FFDE4444"/>
        </patternFill>
      </fill>
      <border/>
    </dxf>
    <dxf>
      <font>
        <color rgb="FFEFEFEF"/>
      </font>
      <fill>
        <patternFill patternType="solid">
          <fgColor rgb="FF15C2ED"/>
          <bgColor rgb="FF15C2E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FFCFC9"/>
          <bgColor rgb="FFFFCFC9"/>
        </patternFill>
      </fill>
      <border/>
    </dxf>
    <dxf>
      <font>
        <b/>
        <color rgb="FF356854"/>
      </font>
      <fill>
        <patternFill patternType="solid">
          <fgColor rgb="FFF6F8F9"/>
          <bgColor rgb="FFF6F8F9"/>
        </patternFill>
      </fill>
      <border/>
    </dxf>
    <dxf>
      <font>
        <color rgb="FFFF0000"/>
      </font>
      <fill>
        <patternFill patternType="solid">
          <fgColor rgb="FF434343"/>
          <bgColor rgb="FF434343"/>
        </patternFill>
      </fill>
      <border/>
    </dxf>
    <dxf>
      <font>
        <color rgb="FFF6F8F9"/>
      </font>
      <fill>
        <patternFill patternType="solid">
          <fgColor rgb="FF356854"/>
          <bgColor rgb="FF356854"/>
        </patternFill>
      </fill>
      <border/>
    </dxf>
    <dxf>
      <font>
        <color rgb="FFF6F8F9"/>
      </font>
      <fill>
        <patternFill patternType="solid">
          <fgColor rgb="FFDE4444"/>
          <bgColor rgb="FFDE4444"/>
        </patternFill>
      </fill>
      <border/>
    </dxf>
    <dxf>
      <font/>
      <fill>
        <patternFill patternType="solid">
          <fgColor rgb="FFFFE5A0"/>
          <bgColor rgb="FFFFE5A0"/>
        </patternFill>
      </fill>
      <border/>
    </dxf>
  </dxfs>
  <tableStyles count="4">
    <tableStyle count="4" pivot="0" name="CIMMVI - Licenciamento Caixa - -style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Previsões-style">
      <tableStyleElement dxfId="1" type="headerRow"/>
      <tableStyleElement dxfId="2" type="firstRowStripe"/>
      <tableStyleElement dxfId="3" type="secondRowStripe"/>
      <tableStyleElement dxfId="6" size="0" type="wholeTable"/>
    </tableStyle>
    <tableStyle count="4" pivot="0" name="AMVI - Banco do Brasil - CC 439-style">
      <tableStyleElement dxfId="1" type="headerRow"/>
      <tableStyleElement dxfId="2" type="firstRowStripe"/>
      <tableStyleElement dxfId="4" type="secondRowStripe"/>
      <tableStyleElement dxfId="5" size="0" type="wholeTable"/>
    </tableStyle>
    <tableStyle count="4" pivot="0" name="CIMMVI - Rateio Banco do Brasil-style">
      <tableStyleElement dxfId="1" type="headerRow"/>
      <tableStyleElement dxfId="2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K140" displayName="RATEIO_CIMMVI" name="RATEIO_CIMMVI" id="4">
  <tableColumns count="11">
    <tableColumn name="CATEGORIA" id="1"/>
    <tableColumn name="DESCRIÇÃO" id="2"/>
    <tableColumn name="OBSERVAÇÃO" id="3"/>
    <tableColumn name="Parc. Atual" id="4"/>
    <tableColumn name="Parc. Rest" id="5"/>
    <tableColumn name="Parc. Total" id="6"/>
    <tableColumn name="DATA PAGAMENTO" id="7"/>
    <tableColumn name="SITUAÇÃO" id="8"/>
    <tableColumn name="FORMA PAGAMENTO" id="9"/>
    <tableColumn name="MOVIMENTAÇÃO" id="10"/>
    <tableColumn name="SALDO ACUMULADO" id="11"/>
  </tableColumns>
  <tableStyleInfo name="CIMMVI - Rateio Banco do Brasil-style" showColumnStripes="0" showFirstColumn="1" showLastColumn="1" showRowStripes="1"/>
</table>
</file>

<file path=xl/tables/table2.xml><?xml version="1.0" encoding="utf-8"?>
<table xmlns="http://schemas.openxmlformats.org/spreadsheetml/2006/main" ref="A1:H1107" displayName="CIMMVI_LICENCIAMENTO_CAIXA" name="CIMMVI_LICENCIAMENTO_CAIXA" id="2">
  <tableColumns count="8">
    <tableColumn name="CATEGORIA" id="1"/>
    <tableColumn name="DESCRIÇÃO" id="2"/>
    <tableColumn name="OBSERVAÇÃO" id="3"/>
    <tableColumn name="DATA PAGAMENTO" id="4"/>
    <tableColumn name="SITUAÇÃO" id="5"/>
    <tableColumn name="FORMA PAGAMENTO" id="6"/>
    <tableColumn name="MOVIMENTAÇÃO" id="7"/>
    <tableColumn name="SALDO ACUMULADO" id="8"/>
  </tableColumns>
  <tableStyleInfo name="CIMMVI - Licenciamento Caixa - -style" showColumnStripes="0" showFirstColumn="1" showLastColumn="1" showRowStripes="1"/>
</table>
</file>

<file path=xl/tables/table3.xml><?xml version="1.0" encoding="utf-8"?>
<table xmlns="http://schemas.openxmlformats.org/spreadsheetml/2006/main" ref="A1:H75" displayName="AMVI" name="AMVI" id="1">
  <tableColumns count="8">
    <tableColumn name="CATEGORIA" id="1"/>
    <tableColumn name="DESCRIÇÃO" id="2"/>
    <tableColumn name="NF/ Nº doc" id="3"/>
    <tableColumn name="DATA PAGAMENTO" id="4"/>
    <tableColumn name="SITUAÇÃO" id="5"/>
    <tableColumn name="FORMA PAGAMENTO" id="6"/>
    <tableColumn name="MOVIMENTAÇÃO" id="7"/>
    <tableColumn name="SALDO ACUMULADO" id="8"/>
  </tableColumns>
  <tableStyleInfo name="AMVI - Banco do Brasil - CC 439-style" showColumnStripes="0" showFirstColumn="1" showLastColumn="1" showRowStripes="1"/>
</table>
</file>

<file path=xl/tables/table4.xml><?xml version="1.0" encoding="utf-8"?>
<table xmlns="http://schemas.openxmlformats.org/spreadsheetml/2006/main" ref="A1:E13" displayName="Previsões" name="Previsões" id="3">
  <tableColumns count="5">
    <tableColumn name="CIMMVI - Rateio Municipal Banco do Brasil - CC 142078-0" id="1"/>
    <tableColumn name="Valor ()" id="2"/>
    <tableColumn name="Coluna 1" id="3"/>
    <tableColumn name="CIMMVI - Licencionamento Caixa - CC 575265726-8" id="4"/>
    <tableColumn name="Valor () 2" id="5"/>
  </tableColumns>
  <tableStyleInfo name="Previsõ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75"/>
  <cols>
    <col customWidth="1" min="1" max="1" width="26.22"/>
    <col customWidth="1" min="2" max="2" width="28.67"/>
    <col customWidth="1" min="3" max="3" width="15.22"/>
    <col customWidth="1" min="4" max="4" width="11.33"/>
    <col customWidth="1" min="5" max="5" width="12.89"/>
    <col customWidth="1" min="6" max="6" width="10.44"/>
    <col customWidth="1" min="7" max="7" width="19.89"/>
    <col customWidth="1" min="10" max="10" width="14.33"/>
    <col customWidth="1" min="11" max="11" width="15.22"/>
  </cols>
  <sheetData>
    <row r="1">
      <c r="E1" s="1"/>
      <c r="F1" s="1"/>
      <c r="G1" s="2"/>
    </row>
    <row r="2">
      <c r="A2" s="5" t="s">
        <v>0</v>
      </c>
      <c r="B2" s="5" t="s">
        <v>2</v>
      </c>
      <c r="C2" s="5" t="s">
        <v>6</v>
      </c>
      <c r="D2" s="5" t="s">
        <v>10</v>
      </c>
      <c r="E2" s="12" t="s">
        <v>12</v>
      </c>
      <c r="F2" s="18" t="s">
        <v>15</v>
      </c>
      <c r="G2" s="22" t="s">
        <v>7</v>
      </c>
      <c r="H2" s="5" t="s">
        <v>9</v>
      </c>
      <c r="I2" s="5" t="s">
        <v>11</v>
      </c>
      <c r="J2" s="14" t="s">
        <v>13</v>
      </c>
      <c r="K2" s="17" t="s">
        <v>16</v>
      </c>
    </row>
    <row r="3">
      <c r="A3" s="30" t="s">
        <v>19</v>
      </c>
      <c r="B3" s="32" t="s">
        <v>19</v>
      </c>
      <c r="C3" s="34"/>
      <c r="D3" s="34"/>
      <c r="E3" s="36"/>
      <c r="F3" s="37"/>
      <c r="G3" s="39">
        <v>46054.0</v>
      </c>
      <c r="H3" s="30" t="s">
        <v>25</v>
      </c>
      <c r="I3" s="29"/>
      <c r="J3" s="42">
        <v>49731.55</v>
      </c>
      <c r="K3" s="33">
        <f>J3</f>
        <v>49731.55</v>
      </c>
    </row>
    <row r="4">
      <c r="A4" s="30" t="s">
        <v>41</v>
      </c>
      <c r="B4" s="32" t="s">
        <v>41</v>
      </c>
      <c r="C4" s="34"/>
      <c r="D4" s="34"/>
      <c r="E4" s="48"/>
      <c r="F4" s="37"/>
      <c r="G4" s="39">
        <v>46058.0</v>
      </c>
      <c r="H4" s="30" t="s">
        <v>25</v>
      </c>
      <c r="I4" s="29"/>
      <c r="J4" s="42">
        <v>24.26</v>
      </c>
      <c r="K4" s="47">
        <f t="shared" ref="K4:K140" si="1">K3+J4</f>
        <v>49755.81</v>
      </c>
    </row>
    <row r="5">
      <c r="A5" s="30" t="s">
        <v>41</v>
      </c>
      <c r="B5" s="32" t="s">
        <v>41</v>
      </c>
      <c r="C5" s="34"/>
      <c r="D5" s="34"/>
      <c r="E5" s="48"/>
      <c r="F5" s="37"/>
      <c r="G5" s="39">
        <v>46059.0</v>
      </c>
      <c r="H5" s="30" t="s">
        <v>25</v>
      </c>
      <c r="I5" s="21" t="s">
        <v>58</v>
      </c>
      <c r="J5" s="42">
        <v>12.75</v>
      </c>
      <c r="K5" s="47">
        <f t="shared" si="1"/>
        <v>49768.56</v>
      </c>
    </row>
    <row r="6">
      <c r="A6" s="30" t="s">
        <v>54</v>
      </c>
      <c r="B6" s="32" t="s">
        <v>65</v>
      </c>
      <c r="C6" s="34"/>
      <c r="D6" s="58">
        <v>2.0</v>
      </c>
      <c r="E6" s="36">
        <v>10.0</v>
      </c>
      <c r="F6" s="37">
        <v>12.0</v>
      </c>
      <c r="G6" s="39">
        <v>46059.0</v>
      </c>
      <c r="H6" s="30" t="s">
        <v>25</v>
      </c>
      <c r="I6" s="56" t="s">
        <v>58</v>
      </c>
      <c r="J6" s="42">
        <v>6563.74</v>
      </c>
      <c r="K6" s="47">
        <f t="shared" si="1"/>
        <v>56332.3</v>
      </c>
    </row>
    <row r="7">
      <c r="A7" s="59" t="s">
        <v>18</v>
      </c>
      <c r="B7" s="60" t="s">
        <v>71</v>
      </c>
      <c r="C7" s="34"/>
      <c r="D7" s="34"/>
      <c r="E7" s="62"/>
      <c r="F7" s="63"/>
      <c r="G7" s="39">
        <v>46062.0</v>
      </c>
      <c r="H7" s="30" t="s">
        <v>25</v>
      </c>
      <c r="I7" s="29"/>
      <c r="J7" s="42">
        <v>-3194.73</v>
      </c>
      <c r="K7" s="47">
        <f t="shared" si="1"/>
        <v>53137.57</v>
      </c>
    </row>
    <row r="8">
      <c r="A8" s="30" t="s">
        <v>41</v>
      </c>
      <c r="B8" s="32" t="s">
        <v>41</v>
      </c>
      <c r="C8" s="34"/>
      <c r="D8" s="34"/>
      <c r="E8" s="48"/>
      <c r="F8" s="37"/>
      <c r="G8" s="39">
        <v>46062.0</v>
      </c>
      <c r="H8" s="30" t="s">
        <v>25</v>
      </c>
      <c r="I8" s="29"/>
      <c r="J8" s="42">
        <v>35.52</v>
      </c>
      <c r="K8" s="47">
        <f t="shared" si="1"/>
        <v>53173.09</v>
      </c>
    </row>
    <row r="9">
      <c r="A9" s="30" t="s">
        <v>54</v>
      </c>
      <c r="B9" s="32" t="s">
        <v>85</v>
      </c>
      <c r="C9" s="34"/>
      <c r="D9" s="58">
        <v>1.0</v>
      </c>
      <c r="E9" s="36">
        <v>11.0</v>
      </c>
      <c r="F9" s="37">
        <v>12.0</v>
      </c>
      <c r="G9" s="39">
        <v>46063.0</v>
      </c>
      <c r="H9" s="30" t="s">
        <v>25</v>
      </c>
      <c r="I9" s="29"/>
      <c r="J9" s="42">
        <v>3281.87</v>
      </c>
      <c r="K9" s="47">
        <f t="shared" si="1"/>
        <v>56454.96</v>
      </c>
    </row>
    <row r="10">
      <c r="A10" s="30" t="s">
        <v>41</v>
      </c>
      <c r="B10" s="32" t="s">
        <v>41</v>
      </c>
      <c r="C10" s="34"/>
      <c r="D10" s="34"/>
      <c r="E10" s="48"/>
      <c r="F10" s="37"/>
      <c r="G10" s="39">
        <v>46063.0</v>
      </c>
      <c r="H10" s="30" t="s">
        <v>25</v>
      </c>
      <c r="I10" s="21" t="s">
        <v>58</v>
      </c>
      <c r="J10" s="42">
        <v>15.89</v>
      </c>
      <c r="K10" s="47">
        <f t="shared" si="1"/>
        <v>56470.85</v>
      </c>
    </row>
    <row r="11">
      <c r="A11" s="30" t="s">
        <v>54</v>
      </c>
      <c r="B11" s="32" t="s">
        <v>95</v>
      </c>
      <c r="C11" s="34"/>
      <c r="D11" s="58">
        <v>1.0</v>
      </c>
      <c r="E11" s="36">
        <v>11.0</v>
      </c>
      <c r="F11" s="37">
        <v>12.0</v>
      </c>
      <c r="G11" s="39">
        <v>46065.0</v>
      </c>
      <c r="H11" s="30" t="s">
        <v>25</v>
      </c>
      <c r="I11" s="56" t="s">
        <v>58</v>
      </c>
      <c r="J11" s="42">
        <v>13300.21</v>
      </c>
      <c r="K11" s="47">
        <f t="shared" si="1"/>
        <v>69771.06</v>
      </c>
    </row>
    <row r="12">
      <c r="A12" s="30" t="s">
        <v>41</v>
      </c>
      <c r="B12" s="32" t="s">
        <v>41</v>
      </c>
      <c r="C12" s="34"/>
      <c r="D12" s="34"/>
      <c r="E12" s="48"/>
      <c r="F12" s="37"/>
      <c r="G12" s="39">
        <v>46065.0</v>
      </c>
      <c r="H12" s="30" t="s">
        <v>25</v>
      </c>
      <c r="I12" s="56" t="s">
        <v>58</v>
      </c>
      <c r="J12" s="42">
        <v>32.42</v>
      </c>
      <c r="K12" s="47">
        <f t="shared" si="1"/>
        <v>69803.48</v>
      </c>
    </row>
    <row r="13">
      <c r="A13" s="30" t="s">
        <v>18</v>
      </c>
      <c r="B13" s="32" t="s">
        <v>108</v>
      </c>
      <c r="C13" s="34"/>
      <c r="D13" s="34"/>
      <c r="E13" s="48"/>
      <c r="F13" s="37"/>
      <c r="G13" s="39">
        <v>46067.0</v>
      </c>
      <c r="H13" s="30" t="s">
        <v>25</v>
      </c>
      <c r="I13" s="56" t="s">
        <v>58</v>
      </c>
      <c r="J13" s="42">
        <v>-220.0</v>
      </c>
      <c r="K13" s="47">
        <f t="shared" si="1"/>
        <v>69583.48</v>
      </c>
    </row>
    <row r="14">
      <c r="A14" s="30" t="s">
        <v>54</v>
      </c>
      <c r="B14" s="32" t="s">
        <v>112</v>
      </c>
      <c r="C14" s="34"/>
      <c r="D14" s="58">
        <v>1.0</v>
      </c>
      <c r="E14" s="36">
        <v>11.0</v>
      </c>
      <c r="F14" s="37">
        <v>12.0</v>
      </c>
      <c r="G14" s="39">
        <v>46073.0</v>
      </c>
      <c r="H14" s="30" t="s">
        <v>25</v>
      </c>
      <c r="I14" s="65"/>
      <c r="J14" s="42">
        <v>3281.87</v>
      </c>
      <c r="K14" s="47">
        <f t="shared" si="1"/>
        <v>72865.35</v>
      </c>
    </row>
    <row r="15">
      <c r="A15" s="30" t="s">
        <v>117</v>
      </c>
      <c r="B15" s="32" t="s">
        <v>118</v>
      </c>
      <c r="C15" s="34"/>
      <c r="D15" s="34"/>
      <c r="E15" s="48"/>
      <c r="F15" s="37"/>
      <c r="G15" s="39">
        <v>46068.0</v>
      </c>
      <c r="H15" s="30" t="s">
        <v>25</v>
      </c>
      <c r="I15" s="65"/>
      <c r="J15" s="42">
        <v>-482.87</v>
      </c>
      <c r="K15" s="47">
        <f t="shared" si="1"/>
        <v>72382.48</v>
      </c>
    </row>
    <row r="16">
      <c r="A16" s="30" t="s">
        <v>84</v>
      </c>
      <c r="B16" s="32" t="s">
        <v>86</v>
      </c>
      <c r="C16" s="34"/>
      <c r="D16" s="34"/>
      <c r="E16" s="48"/>
      <c r="F16" s="37"/>
      <c r="G16" s="39">
        <v>46073.0</v>
      </c>
      <c r="H16" s="30" t="s">
        <v>25</v>
      </c>
      <c r="I16" s="29"/>
      <c r="J16" s="42">
        <v>-8123.66</v>
      </c>
      <c r="K16" s="47">
        <f t="shared" si="1"/>
        <v>64258.82</v>
      </c>
    </row>
    <row r="17">
      <c r="A17" s="30" t="s">
        <v>88</v>
      </c>
      <c r="B17" s="32" t="s">
        <v>88</v>
      </c>
      <c r="C17" s="34"/>
      <c r="D17" s="34"/>
      <c r="E17" s="48"/>
      <c r="F17" s="37"/>
      <c r="G17" s="39">
        <v>46073.0</v>
      </c>
      <c r="H17" s="30" t="s">
        <v>25</v>
      </c>
      <c r="I17" s="29"/>
      <c r="J17" s="42">
        <v>-3703.04</v>
      </c>
      <c r="K17" s="47">
        <f t="shared" si="1"/>
        <v>60555.78</v>
      </c>
    </row>
    <row r="18">
      <c r="A18" s="30" t="s">
        <v>88</v>
      </c>
      <c r="B18" s="32" t="s">
        <v>129</v>
      </c>
      <c r="C18" s="34"/>
      <c r="D18" s="34"/>
      <c r="E18" s="48"/>
      <c r="F18" s="37"/>
      <c r="G18" s="39">
        <v>46073.0</v>
      </c>
      <c r="H18" s="30" t="s">
        <v>25</v>
      </c>
      <c r="I18" s="56" t="s">
        <v>58</v>
      </c>
      <c r="J18" s="42">
        <v>1683.2</v>
      </c>
      <c r="K18" s="47">
        <f t="shared" si="1"/>
        <v>62238.98</v>
      </c>
    </row>
    <row r="19">
      <c r="A19" s="30" t="s">
        <v>41</v>
      </c>
      <c r="B19" s="32" t="s">
        <v>41</v>
      </c>
      <c r="C19" s="34"/>
      <c r="D19" s="34"/>
      <c r="E19" s="48"/>
      <c r="F19" s="37"/>
      <c r="G19" s="39">
        <v>46075.0</v>
      </c>
      <c r="H19" s="30" t="s">
        <v>25</v>
      </c>
      <c r="I19" s="56" t="s">
        <v>58</v>
      </c>
      <c r="J19" s="42">
        <v>121.28</v>
      </c>
      <c r="K19" s="47">
        <f t="shared" si="1"/>
        <v>62360.26</v>
      </c>
    </row>
    <row r="20">
      <c r="A20" s="30" t="s">
        <v>18</v>
      </c>
      <c r="B20" s="32" t="s">
        <v>137</v>
      </c>
      <c r="C20" s="34"/>
      <c r="D20" s="34"/>
      <c r="E20" s="48"/>
      <c r="F20" s="37"/>
      <c r="G20" s="39">
        <v>46076.0</v>
      </c>
      <c r="H20" s="30" t="s">
        <v>25</v>
      </c>
      <c r="I20" s="56" t="s">
        <v>58</v>
      </c>
      <c r="J20" s="42">
        <v>-3880.16</v>
      </c>
      <c r="K20" s="47">
        <f t="shared" si="1"/>
        <v>58480.1</v>
      </c>
    </row>
    <row r="21">
      <c r="A21" s="30" t="s">
        <v>41</v>
      </c>
      <c r="B21" s="32" t="s">
        <v>41</v>
      </c>
      <c r="C21" s="34"/>
      <c r="D21" s="34"/>
      <c r="E21" s="48"/>
      <c r="F21" s="37"/>
      <c r="G21" s="39">
        <v>46079.0</v>
      </c>
      <c r="H21" s="30" t="s">
        <v>25</v>
      </c>
      <c r="I21" s="56" t="s">
        <v>58</v>
      </c>
      <c r="J21" s="42">
        <v>64.55</v>
      </c>
      <c r="K21" s="47">
        <f t="shared" si="1"/>
        <v>58544.65</v>
      </c>
    </row>
    <row r="22">
      <c r="A22" s="59" t="s">
        <v>98</v>
      </c>
      <c r="B22" s="60" t="s">
        <v>143</v>
      </c>
      <c r="C22" s="34"/>
      <c r="D22" s="34"/>
      <c r="E22" s="62"/>
      <c r="F22" s="63"/>
      <c r="G22" s="39">
        <v>46080.0</v>
      </c>
      <c r="H22" s="30" t="s">
        <v>25</v>
      </c>
      <c r="I22" s="89" t="s">
        <v>58</v>
      </c>
      <c r="J22" s="42">
        <v>-4814.87</v>
      </c>
      <c r="K22" s="47">
        <f t="shared" si="1"/>
        <v>53729.78</v>
      </c>
    </row>
    <row r="23">
      <c r="A23" s="59" t="s">
        <v>98</v>
      </c>
      <c r="B23" s="60" t="s">
        <v>146</v>
      </c>
      <c r="C23" s="34"/>
      <c r="D23" s="34"/>
      <c r="E23" s="62"/>
      <c r="F23" s="63"/>
      <c r="G23" s="39">
        <v>46080.0</v>
      </c>
      <c r="H23" s="30" t="s">
        <v>25</v>
      </c>
      <c r="I23" s="93"/>
      <c r="J23" s="42">
        <v>-4814.87</v>
      </c>
      <c r="K23" s="47">
        <f t="shared" si="1"/>
        <v>48914.91</v>
      </c>
    </row>
    <row r="24">
      <c r="A24" s="59" t="s">
        <v>98</v>
      </c>
      <c r="B24" s="60" t="s">
        <v>148</v>
      </c>
      <c r="C24" s="34"/>
      <c r="D24" s="34"/>
      <c r="E24" s="62"/>
      <c r="F24" s="63"/>
      <c r="G24" s="39">
        <v>46080.0</v>
      </c>
      <c r="H24" s="30" t="s">
        <v>25</v>
      </c>
      <c r="I24" s="99"/>
      <c r="J24" s="42">
        <v>-3604.17</v>
      </c>
      <c r="K24" s="47">
        <f t="shared" si="1"/>
        <v>45310.74</v>
      </c>
    </row>
    <row r="25">
      <c r="A25" s="59" t="s">
        <v>98</v>
      </c>
      <c r="B25" s="60" t="s">
        <v>149</v>
      </c>
      <c r="C25" s="34"/>
      <c r="D25" s="34"/>
      <c r="E25" s="62"/>
      <c r="F25" s="63"/>
      <c r="G25" s="39">
        <v>46080.0</v>
      </c>
      <c r="H25" s="30" t="s">
        <v>25</v>
      </c>
      <c r="I25" s="29"/>
      <c r="J25" s="42">
        <v>-3604.17</v>
      </c>
      <c r="K25" s="47">
        <f t="shared" si="1"/>
        <v>41706.57</v>
      </c>
    </row>
    <row r="26">
      <c r="A26" s="59" t="s">
        <v>98</v>
      </c>
      <c r="B26" s="60" t="s">
        <v>155</v>
      </c>
      <c r="C26" s="34"/>
      <c r="D26" s="34"/>
      <c r="E26" s="62"/>
      <c r="F26" s="63"/>
      <c r="G26" s="39">
        <v>46083.0</v>
      </c>
      <c r="H26" s="30" t="s">
        <v>25</v>
      </c>
      <c r="I26" s="93"/>
      <c r="J26" s="42">
        <v>-6002.04</v>
      </c>
      <c r="K26" s="47">
        <f t="shared" si="1"/>
        <v>35704.53</v>
      </c>
    </row>
    <row r="27">
      <c r="A27" s="30" t="s">
        <v>54</v>
      </c>
      <c r="B27" s="32" t="s">
        <v>156</v>
      </c>
      <c r="C27" s="34"/>
      <c r="D27" s="58">
        <v>12.0</v>
      </c>
      <c r="E27" s="36">
        <v>0.0</v>
      </c>
      <c r="F27" s="37">
        <v>12.0</v>
      </c>
      <c r="G27" s="39">
        <v>46083.0</v>
      </c>
      <c r="H27" s="30" t="s">
        <v>25</v>
      </c>
      <c r="I27" s="93"/>
      <c r="J27" s="42">
        <v>7497.84</v>
      </c>
      <c r="K27" s="47">
        <f t="shared" si="1"/>
        <v>43202.37</v>
      </c>
    </row>
    <row r="28">
      <c r="A28" s="30" t="s">
        <v>54</v>
      </c>
      <c r="B28" s="32" t="s">
        <v>161</v>
      </c>
      <c r="C28" s="34"/>
      <c r="D28" s="58">
        <v>2.0</v>
      </c>
      <c r="E28" s="36">
        <v>10.0</v>
      </c>
      <c r="F28" s="37">
        <v>12.0</v>
      </c>
      <c r="G28" s="39">
        <v>46085.0</v>
      </c>
      <c r="H28" s="30" t="s">
        <v>25</v>
      </c>
      <c r="I28" s="29"/>
      <c r="J28" s="42">
        <v>18050.28</v>
      </c>
      <c r="K28" s="47">
        <f t="shared" si="1"/>
        <v>61252.65</v>
      </c>
    </row>
    <row r="29">
      <c r="A29" s="30" t="s">
        <v>54</v>
      </c>
      <c r="B29" s="32" t="s">
        <v>164</v>
      </c>
      <c r="C29" s="34"/>
      <c r="D29" s="58">
        <v>1.0</v>
      </c>
      <c r="E29" s="36">
        <v>11.0</v>
      </c>
      <c r="F29" s="37">
        <v>12.0</v>
      </c>
      <c r="G29" s="39">
        <v>46085.0</v>
      </c>
      <c r="H29" s="30" t="s">
        <v>25</v>
      </c>
      <c r="I29" s="29"/>
      <c r="J29" s="42">
        <v>2461.4</v>
      </c>
      <c r="K29" s="47">
        <f t="shared" si="1"/>
        <v>63714.05</v>
      </c>
    </row>
    <row r="30">
      <c r="A30" s="30" t="s">
        <v>18</v>
      </c>
      <c r="B30" s="32" t="s">
        <v>137</v>
      </c>
      <c r="C30" s="34"/>
      <c r="D30" s="34"/>
      <c r="E30" s="48"/>
      <c r="F30" s="37"/>
      <c r="G30" s="39">
        <v>46085.0</v>
      </c>
      <c r="H30" s="30" t="s">
        <v>25</v>
      </c>
      <c r="I30" s="29"/>
      <c r="J30" s="42">
        <v>-3880.16</v>
      </c>
      <c r="K30" s="47">
        <f t="shared" si="1"/>
        <v>59833.89</v>
      </c>
    </row>
    <row r="31">
      <c r="A31" s="30" t="s">
        <v>54</v>
      </c>
      <c r="B31" s="32" t="s">
        <v>164</v>
      </c>
      <c r="C31" s="34"/>
      <c r="D31" s="58">
        <v>2.0</v>
      </c>
      <c r="E31" s="36">
        <v>10.0</v>
      </c>
      <c r="F31" s="37">
        <v>12.0</v>
      </c>
      <c r="G31" s="39">
        <v>46091.0</v>
      </c>
      <c r="H31" s="30" t="s">
        <v>25</v>
      </c>
      <c r="I31" s="29"/>
      <c r="J31" s="42">
        <v>2461.4</v>
      </c>
      <c r="K31" s="47">
        <f t="shared" si="1"/>
        <v>62295.29</v>
      </c>
    </row>
    <row r="32">
      <c r="A32" s="30" t="s">
        <v>54</v>
      </c>
      <c r="B32" s="32" t="s">
        <v>95</v>
      </c>
      <c r="C32" s="34"/>
      <c r="D32" s="58">
        <v>2.0</v>
      </c>
      <c r="E32" s="36">
        <v>10.0</v>
      </c>
      <c r="F32" s="37">
        <v>12.0</v>
      </c>
      <c r="G32" s="39">
        <v>46091.0</v>
      </c>
      <c r="H32" s="30" t="s">
        <v>25</v>
      </c>
      <c r="I32" s="29"/>
      <c r="J32" s="42">
        <v>13300.21</v>
      </c>
      <c r="K32" s="47">
        <f t="shared" si="1"/>
        <v>75595.5</v>
      </c>
    </row>
    <row r="33">
      <c r="A33" s="30" t="s">
        <v>18</v>
      </c>
      <c r="B33" s="32" t="s">
        <v>167</v>
      </c>
      <c r="C33" s="34"/>
      <c r="D33" s="34"/>
      <c r="E33" s="48"/>
      <c r="F33" s="37"/>
      <c r="G33" s="39">
        <v>46091.0</v>
      </c>
      <c r="H33" s="30" t="s">
        <v>25</v>
      </c>
      <c r="I33" s="29"/>
      <c r="J33" s="42">
        <v>-3194.73</v>
      </c>
      <c r="K33" s="47">
        <f t="shared" si="1"/>
        <v>72400.77</v>
      </c>
    </row>
    <row r="34">
      <c r="A34" s="30" t="s">
        <v>54</v>
      </c>
      <c r="B34" s="32" t="s">
        <v>65</v>
      </c>
      <c r="C34" s="34"/>
      <c r="D34" s="58">
        <v>3.0</v>
      </c>
      <c r="E34" s="36">
        <v>9.0</v>
      </c>
      <c r="F34" s="37">
        <v>12.0</v>
      </c>
      <c r="G34" s="39">
        <v>46093.0</v>
      </c>
      <c r="H34" s="30" t="s">
        <v>25</v>
      </c>
      <c r="I34" s="29"/>
      <c r="J34" s="42">
        <v>3281.87</v>
      </c>
      <c r="K34" s="47">
        <f t="shared" si="1"/>
        <v>75682.64</v>
      </c>
    </row>
    <row r="35">
      <c r="A35" s="30" t="s">
        <v>54</v>
      </c>
      <c r="B35" s="119" t="s">
        <v>85</v>
      </c>
      <c r="C35" s="34"/>
      <c r="D35" s="58">
        <v>2.0</v>
      </c>
      <c r="E35" s="36">
        <v>10.0</v>
      </c>
      <c r="F35" s="37">
        <v>12.0</v>
      </c>
      <c r="G35" s="39">
        <v>46094.0</v>
      </c>
      <c r="H35" s="30" t="s">
        <v>25</v>
      </c>
      <c r="I35" s="29"/>
      <c r="J35" s="42">
        <v>3281.87</v>
      </c>
      <c r="K35" s="47">
        <f t="shared" si="1"/>
        <v>78964.51</v>
      </c>
    </row>
    <row r="36">
      <c r="A36" s="30" t="s">
        <v>54</v>
      </c>
      <c r="B36" s="32" t="s">
        <v>112</v>
      </c>
      <c r="C36" s="34"/>
      <c r="D36" s="58">
        <v>2.0</v>
      </c>
      <c r="E36" s="36">
        <v>10.0</v>
      </c>
      <c r="F36" s="37">
        <v>12.0</v>
      </c>
      <c r="G36" s="39">
        <v>46094.0</v>
      </c>
      <c r="H36" s="30" t="s">
        <v>25</v>
      </c>
      <c r="I36" s="29"/>
      <c r="J36" s="42">
        <v>6563.74</v>
      </c>
      <c r="K36" s="47">
        <f t="shared" si="1"/>
        <v>85528.25</v>
      </c>
    </row>
    <row r="37">
      <c r="A37" s="30" t="s">
        <v>41</v>
      </c>
      <c r="B37" s="32" t="s">
        <v>41</v>
      </c>
      <c r="C37" s="34"/>
      <c r="D37" s="34"/>
      <c r="E37" s="48"/>
      <c r="F37" s="37"/>
      <c r="G37" s="39">
        <v>46094.0</v>
      </c>
      <c r="H37" s="30" t="s">
        <v>25</v>
      </c>
      <c r="I37" s="29"/>
      <c r="J37" s="42">
        <v>155.41</v>
      </c>
      <c r="K37" s="47">
        <f t="shared" si="1"/>
        <v>85683.66</v>
      </c>
    </row>
    <row r="38">
      <c r="A38" s="30" t="s">
        <v>176</v>
      </c>
      <c r="B38" s="32" t="s">
        <v>177</v>
      </c>
      <c r="C38" s="34"/>
      <c r="D38" s="34"/>
      <c r="E38" s="48"/>
      <c r="F38" s="37"/>
      <c r="G38" s="39">
        <v>46097.0</v>
      </c>
      <c r="H38" s="30" t="s">
        <v>25</v>
      </c>
      <c r="I38" s="29"/>
      <c r="J38" s="42">
        <v>-1000.0</v>
      </c>
      <c r="K38" s="47">
        <f t="shared" si="1"/>
        <v>84683.66</v>
      </c>
    </row>
    <row r="39">
      <c r="A39" s="30" t="s">
        <v>88</v>
      </c>
      <c r="B39" s="32" t="s">
        <v>180</v>
      </c>
      <c r="C39" s="34"/>
      <c r="D39" s="34"/>
      <c r="E39" s="48"/>
      <c r="F39" s="37"/>
      <c r="G39" s="39">
        <v>46100.0</v>
      </c>
      <c r="H39" s="30" t="s">
        <v>25</v>
      </c>
      <c r="I39" s="29"/>
      <c r="J39" s="42">
        <v>1586.68</v>
      </c>
      <c r="K39" s="47">
        <f t="shared" si="1"/>
        <v>86270.34</v>
      </c>
    </row>
    <row r="40">
      <c r="A40" s="30" t="s">
        <v>88</v>
      </c>
      <c r="B40" s="32" t="s">
        <v>88</v>
      </c>
      <c r="C40" s="34"/>
      <c r="D40" s="34"/>
      <c r="E40" s="48"/>
      <c r="F40" s="37"/>
      <c r="G40" s="39">
        <v>46100.0</v>
      </c>
      <c r="H40" s="30" t="s">
        <v>25</v>
      </c>
      <c r="I40" s="29"/>
      <c r="J40" s="42">
        <v>-3763.96</v>
      </c>
      <c r="K40" s="47">
        <f t="shared" si="1"/>
        <v>82506.38</v>
      </c>
    </row>
    <row r="41">
      <c r="A41" s="30" t="s">
        <v>84</v>
      </c>
      <c r="B41" s="32" t="s">
        <v>86</v>
      </c>
      <c r="C41" s="34"/>
      <c r="D41" s="34"/>
      <c r="E41" s="48"/>
      <c r="F41" s="37"/>
      <c r="G41" s="39">
        <v>46100.0</v>
      </c>
      <c r="H41" s="30" t="s">
        <v>25</v>
      </c>
      <c r="I41" s="29"/>
      <c r="J41" s="42">
        <v>-8820.76</v>
      </c>
      <c r="K41" s="47">
        <f t="shared" si="1"/>
        <v>73685.62</v>
      </c>
    </row>
    <row r="42">
      <c r="A42" s="30" t="s">
        <v>117</v>
      </c>
      <c r="B42" s="32" t="s">
        <v>118</v>
      </c>
      <c r="C42" s="34"/>
      <c r="D42" s="34"/>
      <c r="E42" s="48"/>
      <c r="F42" s="37"/>
      <c r="G42" s="39">
        <v>46101.0</v>
      </c>
      <c r="H42" s="30" t="s">
        <v>25</v>
      </c>
      <c r="I42" s="118"/>
      <c r="J42" s="42">
        <v>-482.87</v>
      </c>
      <c r="K42" s="47">
        <f t="shared" si="1"/>
        <v>73202.75</v>
      </c>
    </row>
    <row r="43">
      <c r="A43" s="30" t="s">
        <v>151</v>
      </c>
      <c r="B43" s="32" t="s">
        <v>187</v>
      </c>
      <c r="C43" s="34"/>
      <c r="D43" s="34"/>
      <c r="E43" s="48"/>
      <c r="F43" s="37"/>
      <c r="G43" s="39">
        <v>46104.0</v>
      </c>
      <c r="H43" s="30" t="s">
        <v>25</v>
      </c>
      <c r="I43" s="118"/>
      <c r="J43" s="42">
        <v>14123.0</v>
      </c>
      <c r="K43" s="47">
        <f t="shared" si="1"/>
        <v>87325.75</v>
      </c>
    </row>
    <row r="44">
      <c r="A44" s="30" t="s">
        <v>18</v>
      </c>
      <c r="B44" s="32" t="s">
        <v>189</v>
      </c>
      <c r="C44" s="34"/>
      <c r="D44" s="34"/>
      <c r="E44" s="48"/>
      <c r="F44" s="37"/>
      <c r="G44" s="39">
        <v>46105.0</v>
      </c>
      <c r="H44" s="30" t="s">
        <v>25</v>
      </c>
      <c r="I44" s="29"/>
      <c r="J44" s="42">
        <v>-254.0</v>
      </c>
      <c r="K44" s="47">
        <f t="shared" si="1"/>
        <v>87071.75</v>
      </c>
    </row>
    <row r="45">
      <c r="A45" s="30" t="s">
        <v>18</v>
      </c>
      <c r="B45" s="32" t="s">
        <v>191</v>
      </c>
      <c r="C45" s="34"/>
      <c r="D45" s="34"/>
      <c r="E45" s="48"/>
      <c r="F45" s="37"/>
      <c r="G45" s="39">
        <v>46107.0</v>
      </c>
      <c r="H45" s="30" t="s">
        <v>25</v>
      </c>
      <c r="I45" s="29"/>
      <c r="J45" s="42">
        <v>-9.94</v>
      </c>
      <c r="K45" s="47">
        <f t="shared" si="1"/>
        <v>87061.81</v>
      </c>
    </row>
    <row r="46">
      <c r="A46" s="30" t="s">
        <v>151</v>
      </c>
      <c r="B46" s="32" t="s">
        <v>193</v>
      </c>
      <c r="C46" s="34"/>
      <c r="D46" s="34"/>
      <c r="E46" s="48"/>
      <c r="F46" s="37"/>
      <c r="G46" s="39">
        <v>46107.0</v>
      </c>
      <c r="H46" s="30" t="s">
        <v>25</v>
      </c>
      <c r="I46" s="29"/>
      <c r="J46" s="42">
        <v>-14123.0</v>
      </c>
      <c r="K46" s="47">
        <f t="shared" si="1"/>
        <v>72938.81</v>
      </c>
    </row>
    <row r="47">
      <c r="A47" s="30" t="s">
        <v>41</v>
      </c>
      <c r="B47" s="32" t="s">
        <v>41</v>
      </c>
      <c r="C47" s="34"/>
      <c r="D47" s="34"/>
      <c r="E47" s="48"/>
      <c r="F47" s="37"/>
      <c r="G47" s="39">
        <v>46107.0</v>
      </c>
      <c r="H47" s="30" t="s">
        <v>25</v>
      </c>
      <c r="I47" s="29"/>
      <c r="J47" s="42">
        <v>198.41</v>
      </c>
      <c r="K47" s="47">
        <f t="shared" si="1"/>
        <v>73137.22</v>
      </c>
    </row>
    <row r="48">
      <c r="A48" s="59" t="s">
        <v>195</v>
      </c>
      <c r="B48" s="60" t="s">
        <v>196</v>
      </c>
      <c r="C48" s="34"/>
      <c r="D48" s="34"/>
      <c r="E48" s="62"/>
      <c r="F48" s="63"/>
      <c r="G48" s="39">
        <v>46112.0</v>
      </c>
      <c r="H48" s="30" t="s">
        <v>25</v>
      </c>
      <c r="I48" s="29"/>
      <c r="J48" s="42">
        <v>-82.63</v>
      </c>
      <c r="K48" s="47">
        <f t="shared" si="1"/>
        <v>73054.59</v>
      </c>
    </row>
    <row r="49">
      <c r="A49" s="59" t="s">
        <v>98</v>
      </c>
      <c r="B49" s="60" t="s">
        <v>143</v>
      </c>
      <c r="C49" s="34"/>
      <c r="D49" s="34"/>
      <c r="E49" s="62"/>
      <c r="F49" s="63"/>
      <c r="G49" s="39">
        <v>46112.0</v>
      </c>
      <c r="H49" s="30" t="s">
        <v>25</v>
      </c>
      <c r="I49" s="29"/>
      <c r="J49" s="42">
        <v>-4722.24</v>
      </c>
      <c r="K49" s="47">
        <f t="shared" si="1"/>
        <v>68332.35</v>
      </c>
    </row>
    <row r="50">
      <c r="A50" s="59" t="s">
        <v>98</v>
      </c>
      <c r="B50" s="60" t="s">
        <v>146</v>
      </c>
      <c r="C50" s="34"/>
      <c r="D50" s="34"/>
      <c r="E50" s="62"/>
      <c r="F50" s="63"/>
      <c r="G50" s="39">
        <v>46112.0</v>
      </c>
      <c r="H50" s="30" t="s">
        <v>25</v>
      </c>
      <c r="I50" s="29"/>
      <c r="J50" s="42">
        <v>-4722.24</v>
      </c>
      <c r="K50" s="47">
        <f t="shared" si="1"/>
        <v>63610.11</v>
      </c>
    </row>
    <row r="51">
      <c r="A51" s="59" t="s">
        <v>98</v>
      </c>
      <c r="B51" s="60" t="s">
        <v>148</v>
      </c>
      <c r="C51" s="34"/>
      <c r="D51" s="34"/>
      <c r="E51" s="62"/>
      <c r="F51" s="63"/>
      <c r="G51" s="39">
        <v>46112.0</v>
      </c>
      <c r="H51" s="30" t="s">
        <v>25</v>
      </c>
      <c r="I51" s="29"/>
      <c r="J51" s="42">
        <v>-3477.87</v>
      </c>
      <c r="K51" s="47">
        <f t="shared" si="1"/>
        <v>60132.24</v>
      </c>
    </row>
    <row r="52">
      <c r="A52" s="59" t="s">
        <v>98</v>
      </c>
      <c r="B52" s="60" t="s">
        <v>149</v>
      </c>
      <c r="C52" s="34"/>
      <c r="D52" s="34"/>
      <c r="E52" s="62"/>
      <c r="F52" s="63"/>
      <c r="G52" s="39">
        <v>46112.0</v>
      </c>
      <c r="H52" s="30" t="s">
        <v>25</v>
      </c>
      <c r="I52" s="56" t="s">
        <v>58</v>
      </c>
      <c r="J52" s="42">
        <v>-3477.87</v>
      </c>
      <c r="K52" s="47">
        <f t="shared" si="1"/>
        <v>56654.37</v>
      </c>
    </row>
    <row r="53">
      <c r="A53" s="59" t="s">
        <v>98</v>
      </c>
      <c r="B53" s="60" t="s">
        <v>155</v>
      </c>
      <c r="C53" s="34"/>
      <c r="D53" s="34"/>
      <c r="E53" s="62"/>
      <c r="F53" s="63"/>
      <c r="G53" s="39">
        <v>46112.0</v>
      </c>
      <c r="H53" s="30" t="s">
        <v>25</v>
      </c>
      <c r="I53" s="56" t="s">
        <v>58</v>
      </c>
      <c r="J53" s="42">
        <v>-5823.07</v>
      </c>
      <c r="K53" s="47">
        <f t="shared" si="1"/>
        <v>50831.3</v>
      </c>
    </row>
    <row r="54">
      <c r="A54" s="30" t="s">
        <v>18</v>
      </c>
      <c r="B54" s="32" t="s">
        <v>202</v>
      </c>
      <c r="C54" s="34"/>
      <c r="D54" s="34"/>
      <c r="E54" s="48"/>
      <c r="F54" s="37"/>
      <c r="G54" s="39">
        <v>46119.0</v>
      </c>
      <c r="H54" s="30" t="s">
        <v>25</v>
      </c>
      <c r="I54" s="56" t="s">
        <v>58</v>
      </c>
      <c r="J54" s="42">
        <v>-3880.16</v>
      </c>
      <c r="K54" s="47">
        <f t="shared" si="1"/>
        <v>46951.14</v>
      </c>
    </row>
    <row r="55">
      <c r="A55" s="30" t="s">
        <v>176</v>
      </c>
      <c r="B55" s="32" t="s">
        <v>203</v>
      </c>
      <c r="C55" s="34"/>
      <c r="D55" s="34"/>
      <c r="E55" s="48"/>
      <c r="F55" s="37"/>
      <c r="G55" s="39">
        <v>46119.0</v>
      </c>
      <c r="H55" s="30" t="s">
        <v>25</v>
      </c>
      <c r="I55" s="56" t="s">
        <v>58</v>
      </c>
      <c r="J55" s="42">
        <v>-500.0</v>
      </c>
      <c r="K55" s="47">
        <f t="shared" si="1"/>
        <v>46451.14</v>
      </c>
    </row>
    <row r="56">
      <c r="A56" s="30" t="s">
        <v>54</v>
      </c>
      <c r="B56" s="32" t="s">
        <v>161</v>
      </c>
      <c r="C56" s="34"/>
      <c r="D56" s="58">
        <v>3.0</v>
      </c>
      <c r="E56" s="36">
        <v>9.0</v>
      </c>
      <c r="F56" s="37">
        <v>12.0</v>
      </c>
      <c r="G56" s="39">
        <v>46121.0</v>
      </c>
      <c r="H56" s="30" t="s">
        <v>25</v>
      </c>
      <c r="I56" s="29"/>
      <c r="J56" s="42">
        <v>9025.14</v>
      </c>
      <c r="K56" s="47">
        <f t="shared" si="1"/>
        <v>55476.28</v>
      </c>
    </row>
    <row r="57">
      <c r="A57" s="30" t="s">
        <v>54</v>
      </c>
      <c r="B57" s="32" t="s">
        <v>85</v>
      </c>
      <c r="C57" s="34"/>
      <c r="D57" s="58">
        <v>3.0</v>
      </c>
      <c r="E57" s="36">
        <v>9.0</v>
      </c>
      <c r="F57" s="37">
        <v>12.0</v>
      </c>
      <c r="G57" s="39">
        <v>46121.0</v>
      </c>
      <c r="H57" s="30" t="s">
        <v>25</v>
      </c>
      <c r="I57" s="29"/>
      <c r="J57" s="42">
        <v>3281.27</v>
      </c>
      <c r="K57" s="47">
        <f t="shared" si="1"/>
        <v>58757.55</v>
      </c>
    </row>
    <row r="58">
      <c r="A58" s="30" t="s">
        <v>84</v>
      </c>
      <c r="B58" s="32" t="s">
        <v>86</v>
      </c>
      <c r="C58" s="34"/>
      <c r="D58" s="34"/>
      <c r="E58" s="48"/>
      <c r="F58" s="37"/>
      <c r="G58" s="39">
        <v>46122.0</v>
      </c>
      <c r="H58" s="30" t="s">
        <v>25</v>
      </c>
      <c r="I58" s="29"/>
      <c r="J58" s="42">
        <v>-10175.54</v>
      </c>
      <c r="K58" s="47">
        <f t="shared" si="1"/>
        <v>48582.01</v>
      </c>
    </row>
    <row r="59">
      <c r="A59" s="30" t="s">
        <v>88</v>
      </c>
      <c r="B59" s="32" t="s">
        <v>88</v>
      </c>
      <c r="C59" s="34"/>
      <c r="D59" s="34"/>
      <c r="E59" s="48"/>
      <c r="F59" s="37"/>
      <c r="G59" s="39">
        <v>46122.0</v>
      </c>
      <c r="H59" s="30" t="s">
        <v>25</v>
      </c>
      <c r="I59" s="29"/>
      <c r="J59" s="42">
        <v>-3832.78</v>
      </c>
      <c r="K59" s="47">
        <f t="shared" si="1"/>
        <v>44749.23</v>
      </c>
    </row>
    <row r="60">
      <c r="A60" s="30" t="s">
        <v>88</v>
      </c>
      <c r="B60" s="32" t="s">
        <v>206</v>
      </c>
      <c r="C60" s="34"/>
      <c r="D60" s="34"/>
      <c r="E60" s="48"/>
      <c r="F60" s="37"/>
      <c r="G60" s="39">
        <v>46122.0</v>
      </c>
      <c r="H60" s="30" t="s">
        <v>25</v>
      </c>
      <c r="I60" s="118"/>
      <c r="J60" s="42">
        <v>1311.6</v>
      </c>
      <c r="K60" s="47">
        <f t="shared" si="1"/>
        <v>46060.83</v>
      </c>
    </row>
    <row r="61">
      <c r="A61" s="30" t="s">
        <v>18</v>
      </c>
      <c r="B61" s="32" t="s">
        <v>207</v>
      </c>
      <c r="C61" s="34"/>
      <c r="D61" s="34"/>
      <c r="E61" s="48"/>
      <c r="F61" s="37"/>
      <c r="G61" s="39">
        <v>46122.0</v>
      </c>
      <c r="H61" s="30" t="s">
        <v>25</v>
      </c>
      <c r="I61" s="118"/>
      <c r="J61" s="42">
        <v>-3194.73</v>
      </c>
      <c r="K61" s="47">
        <f t="shared" si="1"/>
        <v>42866.1</v>
      </c>
    </row>
    <row r="62">
      <c r="A62" s="30" t="s">
        <v>54</v>
      </c>
      <c r="B62" s="32" t="s">
        <v>95</v>
      </c>
      <c r="C62" s="34"/>
      <c r="D62" s="58">
        <v>3.0</v>
      </c>
      <c r="E62" s="36">
        <v>9.0</v>
      </c>
      <c r="F62" s="37">
        <v>12.0</v>
      </c>
      <c r="G62" s="39">
        <v>46122.0</v>
      </c>
      <c r="H62" s="30" t="s">
        <v>25</v>
      </c>
      <c r="I62" s="118"/>
      <c r="J62" s="42">
        <v>13300.21</v>
      </c>
      <c r="K62" s="47">
        <f t="shared" si="1"/>
        <v>56166.31</v>
      </c>
    </row>
    <row r="63">
      <c r="A63" s="30" t="s">
        <v>54</v>
      </c>
      <c r="B63" s="32"/>
      <c r="C63" s="34"/>
      <c r="D63" s="58">
        <v>4.0</v>
      </c>
      <c r="E63" s="36">
        <v>8.0</v>
      </c>
      <c r="F63" s="37">
        <v>12.0</v>
      </c>
      <c r="G63" s="39">
        <v>46126.0</v>
      </c>
      <c r="H63" s="30" t="s">
        <v>25</v>
      </c>
      <c r="I63" s="118"/>
      <c r="J63" s="42">
        <v>3281.87</v>
      </c>
      <c r="K63" s="47">
        <f t="shared" si="1"/>
        <v>59448.18</v>
      </c>
    </row>
    <row r="64">
      <c r="A64" s="30" t="s">
        <v>151</v>
      </c>
      <c r="B64" s="32" t="s">
        <v>152</v>
      </c>
      <c r="C64" s="34"/>
      <c r="D64" s="34"/>
      <c r="E64" s="48"/>
      <c r="F64" s="37"/>
      <c r="G64" s="39">
        <v>46127.0</v>
      </c>
      <c r="H64" s="30" t="s">
        <v>25</v>
      </c>
      <c r="I64" s="118"/>
      <c r="J64" s="42">
        <v>14123.0</v>
      </c>
      <c r="K64" s="47">
        <f t="shared" si="1"/>
        <v>73571.18</v>
      </c>
    </row>
    <row r="65">
      <c r="A65" s="30" t="s">
        <v>210</v>
      </c>
      <c r="B65" s="32" t="s">
        <v>211</v>
      </c>
      <c r="C65" s="34"/>
      <c r="D65" s="34"/>
      <c r="E65" s="48"/>
      <c r="F65" s="37"/>
      <c r="G65" s="39">
        <v>46129.0</v>
      </c>
      <c r="H65" s="30" t="s">
        <v>25</v>
      </c>
      <c r="I65" s="29"/>
      <c r="J65" s="42">
        <v>-5000.0</v>
      </c>
      <c r="K65" s="47">
        <f t="shared" si="1"/>
        <v>68571.18</v>
      </c>
    </row>
    <row r="66">
      <c r="A66" s="30" t="s">
        <v>54</v>
      </c>
      <c r="B66" s="32" t="s">
        <v>161</v>
      </c>
      <c r="C66" s="34"/>
      <c r="D66" s="58">
        <v>4.0</v>
      </c>
      <c r="E66" s="36">
        <v>8.0</v>
      </c>
      <c r="F66" s="37">
        <v>12.0</v>
      </c>
      <c r="G66" s="39">
        <v>46129.0</v>
      </c>
      <c r="H66" s="30" t="s">
        <v>25</v>
      </c>
      <c r="I66" s="29"/>
      <c r="J66" s="42">
        <v>9025.14</v>
      </c>
      <c r="K66" s="47">
        <f t="shared" si="1"/>
        <v>77596.32</v>
      </c>
    </row>
    <row r="67">
      <c r="A67" s="30" t="s">
        <v>117</v>
      </c>
      <c r="B67" s="32" t="s">
        <v>118</v>
      </c>
      <c r="C67" s="34"/>
      <c r="D67" s="34"/>
      <c r="E67" s="48"/>
      <c r="F67" s="37"/>
      <c r="G67" s="39">
        <v>46132.0</v>
      </c>
      <c r="H67" s="30" t="s">
        <v>25</v>
      </c>
      <c r="I67" s="29"/>
      <c r="J67" s="42">
        <v>-482.87</v>
      </c>
      <c r="K67" s="47">
        <f t="shared" si="1"/>
        <v>77113.45</v>
      </c>
    </row>
    <row r="68">
      <c r="A68" s="30" t="s">
        <v>151</v>
      </c>
      <c r="B68" s="32" t="s">
        <v>212</v>
      </c>
      <c r="C68" s="34"/>
      <c r="D68" s="34"/>
      <c r="E68" s="48"/>
      <c r="F68" s="37"/>
      <c r="G68" s="39">
        <v>46136.0</v>
      </c>
      <c r="H68" s="30" t="s">
        <v>25</v>
      </c>
      <c r="I68" s="118"/>
      <c r="J68" s="42">
        <v>-14123.0</v>
      </c>
      <c r="K68" s="47">
        <f t="shared" si="1"/>
        <v>62990.45</v>
      </c>
    </row>
    <row r="69">
      <c r="A69" s="59" t="s">
        <v>98</v>
      </c>
      <c r="B69" s="60" t="s">
        <v>214</v>
      </c>
      <c r="C69" s="34"/>
      <c r="D69" s="34"/>
      <c r="E69" s="62"/>
      <c r="F69" s="63"/>
      <c r="G69" s="39">
        <v>46142.0</v>
      </c>
      <c r="H69" s="30" t="s">
        <v>25</v>
      </c>
      <c r="I69" s="29"/>
      <c r="J69" s="42">
        <v>-4722.24</v>
      </c>
      <c r="K69" s="47">
        <f t="shared" si="1"/>
        <v>58268.21</v>
      </c>
    </row>
    <row r="70">
      <c r="A70" s="59" t="s">
        <v>98</v>
      </c>
      <c r="B70" s="60" t="s">
        <v>215</v>
      </c>
      <c r="C70" s="34"/>
      <c r="D70" s="34"/>
      <c r="E70" s="62"/>
      <c r="F70" s="63"/>
      <c r="G70" s="39">
        <v>46142.0</v>
      </c>
      <c r="H70" s="30" t="s">
        <v>25</v>
      </c>
      <c r="I70" s="29"/>
      <c r="J70" s="42">
        <v>-4722.24</v>
      </c>
      <c r="K70" s="47">
        <f t="shared" si="1"/>
        <v>53545.97</v>
      </c>
    </row>
    <row r="71">
      <c r="A71" s="59" t="s">
        <v>98</v>
      </c>
      <c r="B71" s="60" t="s">
        <v>216</v>
      </c>
      <c r="C71" s="34"/>
      <c r="D71" s="34"/>
      <c r="E71" s="62"/>
      <c r="F71" s="63"/>
      <c r="G71" s="39">
        <v>46142.0</v>
      </c>
      <c r="H71" s="30" t="s">
        <v>25</v>
      </c>
      <c r="I71" s="29"/>
      <c r="J71" s="42">
        <v>-3477.87</v>
      </c>
      <c r="K71" s="47">
        <f t="shared" si="1"/>
        <v>50068.1</v>
      </c>
    </row>
    <row r="72">
      <c r="A72" s="59" t="s">
        <v>98</v>
      </c>
      <c r="B72" s="60" t="s">
        <v>218</v>
      </c>
      <c r="C72" s="34"/>
      <c r="D72" s="34"/>
      <c r="E72" s="62"/>
      <c r="F72" s="63"/>
      <c r="G72" s="39">
        <v>46142.0</v>
      </c>
      <c r="H72" s="30" t="s">
        <v>25</v>
      </c>
      <c r="I72" s="118"/>
      <c r="J72" s="42">
        <v>-3477.87</v>
      </c>
      <c r="K72" s="47">
        <f t="shared" si="1"/>
        <v>46590.23</v>
      </c>
    </row>
    <row r="73">
      <c r="A73" s="59" t="s">
        <v>98</v>
      </c>
      <c r="B73" s="60" t="s">
        <v>220</v>
      </c>
      <c r="C73" s="34"/>
      <c r="D73" s="34"/>
      <c r="E73" s="62"/>
      <c r="F73" s="63"/>
      <c r="G73" s="39">
        <v>46142.0</v>
      </c>
      <c r="H73" s="30" t="s">
        <v>25</v>
      </c>
      <c r="I73" s="89" t="s">
        <v>58</v>
      </c>
      <c r="J73" s="42">
        <v>-5823.07</v>
      </c>
      <c r="K73" s="47">
        <f t="shared" si="1"/>
        <v>40767.16</v>
      </c>
    </row>
    <row r="74">
      <c r="A74" s="30" t="s">
        <v>176</v>
      </c>
      <c r="B74" s="32" t="s">
        <v>221</v>
      </c>
      <c r="C74" s="34"/>
      <c r="D74" s="34"/>
      <c r="E74" s="48"/>
      <c r="F74" s="37"/>
      <c r="G74" s="39">
        <v>46146.0</v>
      </c>
      <c r="H74" s="30" t="s">
        <v>25</v>
      </c>
      <c r="I74" s="89" t="s">
        <v>58</v>
      </c>
      <c r="J74" s="42">
        <v>-750.0</v>
      </c>
      <c r="K74" s="47">
        <f t="shared" si="1"/>
        <v>40017.16</v>
      </c>
    </row>
    <row r="75">
      <c r="A75" s="30" t="s">
        <v>41</v>
      </c>
      <c r="B75" s="32" t="s">
        <v>41</v>
      </c>
      <c r="C75" s="34"/>
      <c r="D75" s="34"/>
      <c r="E75" s="48"/>
      <c r="F75" s="37"/>
      <c r="G75" s="39">
        <v>46149.0</v>
      </c>
      <c r="H75" s="30" t="s">
        <v>25</v>
      </c>
      <c r="I75" s="89" t="s">
        <v>58</v>
      </c>
      <c r="J75" s="42">
        <v>467.86</v>
      </c>
      <c r="K75" s="47">
        <f t="shared" si="1"/>
        <v>40485.02</v>
      </c>
    </row>
    <row r="76">
      <c r="A76" s="30" t="s">
        <v>54</v>
      </c>
      <c r="B76" s="32" t="s">
        <v>112</v>
      </c>
      <c r="C76" s="34"/>
      <c r="D76" s="58">
        <v>3.0</v>
      </c>
      <c r="E76" s="36">
        <v>9.0</v>
      </c>
      <c r="F76" s="37">
        <v>12.0</v>
      </c>
      <c r="G76" s="39">
        <v>46153.0</v>
      </c>
      <c r="H76" s="30" t="s">
        <v>25</v>
      </c>
      <c r="I76" s="89" t="s">
        <v>58</v>
      </c>
      <c r="J76" s="42">
        <v>3281.87</v>
      </c>
      <c r="K76" s="47">
        <f t="shared" si="1"/>
        <v>43766.89</v>
      </c>
    </row>
    <row r="77">
      <c r="A77" s="30" t="s">
        <v>54</v>
      </c>
      <c r="B77" s="32" t="s">
        <v>85</v>
      </c>
      <c r="C77" s="34"/>
      <c r="D77" s="58">
        <v>4.0</v>
      </c>
      <c r="E77" s="36">
        <v>8.0</v>
      </c>
      <c r="F77" s="37">
        <v>12.0</v>
      </c>
      <c r="G77" s="39">
        <v>46153.0</v>
      </c>
      <c r="H77" s="30" t="s">
        <v>25</v>
      </c>
      <c r="I77" s="29"/>
      <c r="J77" s="42">
        <v>3281.87</v>
      </c>
      <c r="K77" s="47">
        <f t="shared" si="1"/>
        <v>47048.76</v>
      </c>
    </row>
    <row r="78">
      <c r="A78" s="30" t="s">
        <v>54</v>
      </c>
      <c r="B78" s="32" t="s">
        <v>161</v>
      </c>
      <c r="C78" s="34"/>
      <c r="D78" s="58">
        <v>5.0</v>
      </c>
      <c r="E78" s="36">
        <v>7.0</v>
      </c>
      <c r="F78" s="37">
        <v>12.0</v>
      </c>
      <c r="G78" s="39">
        <v>46153.0</v>
      </c>
      <c r="H78" s="30" t="s">
        <v>25</v>
      </c>
      <c r="I78" s="118"/>
      <c r="J78" s="42">
        <v>9025.14</v>
      </c>
      <c r="K78" s="47">
        <f t="shared" si="1"/>
        <v>56073.9</v>
      </c>
    </row>
    <row r="79">
      <c r="A79" s="30" t="s">
        <v>84</v>
      </c>
      <c r="B79" s="32" t="s">
        <v>86</v>
      </c>
      <c r="C79" s="34"/>
      <c r="D79" s="34"/>
      <c r="E79" s="48"/>
      <c r="F79" s="37"/>
      <c r="G79" s="39">
        <v>46153.0</v>
      </c>
      <c r="H79" s="30" t="s">
        <v>25</v>
      </c>
      <c r="I79" s="118"/>
      <c r="J79" s="42">
        <v>-8472.21</v>
      </c>
      <c r="K79" s="47">
        <f t="shared" si="1"/>
        <v>47601.69</v>
      </c>
    </row>
    <row r="80">
      <c r="A80" s="30" t="s">
        <v>88</v>
      </c>
      <c r="B80" s="32" t="s">
        <v>88</v>
      </c>
      <c r="C80" s="34"/>
      <c r="D80" s="34"/>
      <c r="E80" s="48"/>
      <c r="F80" s="37"/>
      <c r="G80" s="39">
        <v>46153.0</v>
      </c>
      <c r="H80" s="30" t="s">
        <v>25</v>
      </c>
      <c r="I80" s="29"/>
      <c r="J80" s="42">
        <v>-3847.36</v>
      </c>
      <c r="K80" s="47">
        <f t="shared" si="1"/>
        <v>43754.33</v>
      </c>
    </row>
    <row r="81">
      <c r="A81" s="30" t="s">
        <v>88</v>
      </c>
      <c r="B81" s="32" t="s">
        <v>225</v>
      </c>
      <c r="C81" s="34"/>
      <c r="D81" s="34"/>
      <c r="E81" s="48"/>
      <c r="F81" s="37"/>
      <c r="G81" s="39">
        <v>46153.0</v>
      </c>
      <c r="H81" s="30" t="s">
        <v>25</v>
      </c>
      <c r="I81" s="29"/>
      <c r="J81" s="42">
        <v>1748.8</v>
      </c>
      <c r="K81" s="47">
        <f t="shared" si="1"/>
        <v>45503.13</v>
      </c>
    </row>
    <row r="82">
      <c r="A82" s="30" t="s">
        <v>18</v>
      </c>
      <c r="B82" s="32" t="s">
        <v>207</v>
      </c>
      <c r="C82" s="34"/>
      <c r="D82" s="34"/>
      <c r="E82" s="48"/>
      <c r="F82" s="37"/>
      <c r="G82" s="39">
        <v>46153.0</v>
      </c>
      <c r="H82" s="30" t="s">
        <v>25</v>
      </c>
      <c r="I82" s="29"/>
      <c r="J82" s="42">
        <v>-3194.73</v>
      </c>
      <c r="K82" s="47">
        <f t="shared" si="1"/>
        <v>42308.4</v>
      </c>
    </row>
    <row r="83">
      <c r="A83" s="30" t="s">
        <v>210</v>
      </c>
      <c r="B83" s="32" t="s">
        <v>211</v>
      </c>
      <c r="C83" s="34"/>
      <c r="D83" s="34"/>
      <c r="E83" s="48"/>
      <c r="F83" s="37"/>
      <c r="G83" s="39">
        <v>46153.0</v>
      </c>
      <c r="H83" s="30" t="s">
        <v>25</v>
      </c>
      <c r="I83" s="56" t="s">
        <v>58</v>
      </c>
      <c r="J83" s="42">
        <v>-5000.0</v>
      </c>
      <c r="K83" s="47">
        <f t="shared" si="1"/>
        <v>37308.4</v>
      </c>
    </row>
    <row r="84">
      <c r="A84" s="30" t="s">
        <v>18</v>
      </c>
      <c r="B84" s="32" t="s">
        <v>228</v>
      </c>
      <c r="C84" s="34"/>
      <c r="D84" s="34"/>
      <c r="E84" s="48"/>
      <c r="F84" s="37"/>
      <c r="G84" s="39">
        <v>46153.0</v>
      </c>
      <c r="H84" s="30" t="s">
        <v>25</v>
      </c>
      <c r="I84" s="56" t="s">
        <v>58</v>
      </c>
      <c r="J84" s="42">
        <v>-3880.16</v>
      </c>
      <c r="K84" s="47">
        <f t="shared" si="1"/>
        <v>33428.24</v>
      </c>
    </row>
    <row r="85">
      <c r="A85" s="30" t="s">
        <v>176</v>
      </c>
      <c r="B85" s="32" t="s">
        <v>221</v>
      </c>
      <c r="C85" s="34"/>
      <c r="D85" s="34"/>
      <c r="E85" s="48"/>
      <c r="F85" s="37"/>
      <c r="G85" s="39">
        <v>46153.0</v>
      </c>
      <c r="H85" s="30" t="s">
        <v>25</v>
      </c>
      <c r="I85" s="56" t="s">
        <v>58</v>
      </c>
      <c r="J85" s="42">
        <v>-3000.0</v>
      </c>
      <c r="K85" s="47">
        <f t="shared" si="1"/>
        <v>30428.24</v>
      </c>
    </row>
    <row r="86">
      <c r="A86" s="30" t="s">
        <v>54</v>
      </c>
      <c r="B86" s="32" t="s">
        <v>95</v>
      </c>
      <c r="C86" s="34"/>
      <c r="D86" s="58">
        <v>4.0</v>
      </c>
      <c r="E86" s="36">
        <v>8.0</v>
      </c>
      <c r="F86" s="37">
        <v>12.0</v>
      </c>
      <c r="G86" s="39">
        <v>46154.0</v>
      </c>
      <c r="H86" s="30" t="s">
        <v>25</v>
      </c>
      <c r="I86" s="56" t="s">
        <v>58</v>
      </c>
      <c r="J86" s="42">
        <v>13300.21</v>
      </c>
      <c r="K86" s="47">
        <f t="shared" si="1"/>
        <v>43728.45</v>
      </c>
    </row>
    <row r="87">
      <c r="A87" s="30" t="s">
        <v>54</v>
      </c>
      <c r="B87" s="32" t="s">
        <v>65</v>
      </c>
      <c r="C87" s="34"/>
      <c r="D87" s="58">
        <v>5.0</v>
      </c>
      <c r="E87" s="36">
        <v>7.0</v>
      </c>
      <c r="F87" s="37">
        <v>12.0</v>
      </c>
      <c r="G87" s="39">
        <v>46155.0</v>
      </c>
      <c r="H87" s="30" t="s">
        <v>25</v>
      </c>
      <c r="I87" s="29"/>
      <c r="J87" s="42">
        <v>3281.87</v>
      </c>
      <c r="K87" s="47">
        <f t="shared" si="1"/>
        <v>47010.32</v>
      </c>
    </row>
    <row r="88">
      <c r="A88" s="30" t="s">
        <v>54</v>
      </c>
      <c r="B88" s="32" t="s">
        <v>112</v>
      </c>
      <c r="C88" s="34"/>
      <c r="D88" s="58">
        <v>4.0</v>
      </c>
      <c r="E88" s="36">
        <v>8.0</v>
      </c>
      <c r="F88" s="37">
        <v>12.0</v>
      </c>
      <c r="G88" s="39">
        <v>46161.0</v>
      </c>
      <c r="H88" s="30" t="s">
        <v>25</v>
      </c>
      <c r="I88" s="29"/>
      <c r="J88" s="42">
        <v>3281.87</v>
      </c>
      <c r="K88" s="47">
        <f t="shared" si="1"/>
        <v>50292.19</v>
      </c>
    </row>
    <row r="89">
      <c r="A89" s="30" t="s">
        <v>54</v>
      </c>
      <c r="B89" s="32" t="s">
        <v>164</v>
      </c>
      <c r="C89" s="34"/>
      <c r="D89" s="58">
        <v>3.0</v>
      </c>
      <c r="E89" s="36">
        <v>9.0</v>
      </c>
      <c r="F89" s="37">
        <v>12.0</v>
      </c>
      <c r="G89" s="39">
        <v>46161.0</v>
      </c>
      <c r="H89" s="30" t="s">
        <v>25</v>
      </c>
      <c r="I89" s="29"/>
      <c r="J89" s="42">
        <v>2461.4</v>
      </c>
      <c r="K89" s="47">
        <f t="shared" si="1"/>
        <v>52753.59</v>
      </c>
    </row>
    <row r="90">
      <c r="A90" s="30" t="s">
        <v>54</v>
      </c>
      <c r="B90" s="32" t="s">
        <v>164</v>
      </c>
      <c r="C90" s="34"/>
      <c r="D90" s="58">
        <v>4.0</v>
      </c>
      <c r="E90" s="36">
        <v>8.0</v>
      </c>
      <c r="F90" s="37">
        <v>12.0</v>
      </c>
      <c r="G90" s="39">
        <v>46161.0</v>
      </c>
      <c r="H90" s="30" t="s">
        <v>25</v>
      </c>
      <c r="I90" s="29"/>
      <c r="J90" s="42">
        <v>2461.4</v>
      </c>
      <c r="K90" s="47">
        <f t="shared" si="1"/>
        <v>55214.99</v>
      </c>
    </row>
    <row r="91">
      <c r="A91" s="30" t="s">
        <v>117</v>
      </c>
      <c r="B91" s="32" t="s">
        <v>118</v>
      </c>
      <c r="C91" s="34"/>
      <c r="D91" s="34"/>
      <c r="E91" s="48"/>
      <c r="F91" s="37"/>
      <c r="G91" s="39">
        <v>46162.0</v>
      </c>
      <c r="H91" s="30" t="s">
        <v>25</v>
      </c>
      <c r="I91" s="118"/>
      <c r="J91" s="42">
        <v>-482.87</v>
      </c>
      <c r="K91" s="47">
        <f t="shared" si="1"/>
        <v>54732.12</v>
      </c>
    </row>
    <row r="92">
      <c r="A92" s="30" t="s">
        <v>151</v>
      </c>
      <c r="B92" s="32" t="s">
        <v>234</v>
      </c>
      <c r="C92" s="34"/>
      <c r="D92" s="34"/>
      <c r="E92" s="48"/>
      <c r="F92" s="37"/>
      <c r="G92" s="39">
        <v>46164.0</v>
      </c>
      <c r="H92" s="30" t="s">
        <v>25</v>
      </c>
      <c r="I92" s="29"/>
      <c r="J92" s="42">
        <v>14123.0</v>
      </c>
      <c r="K92" s="47">
        <f t="shared" si="1"/>
        <v>68855.12</v>
      </c>
    </row>
    <row r="93">
      <c r="A93" s="30" t="s">
        <v>41</v>
      </c>
      <c r="B93" s="32" t="s">
        <v>41</v>
      </c>
      <c r="C93" s="34"/>
      <c r="D93" s="34"/>
      <c r="E93" s="48"/>
      <c r="F93" s="37"/>
      <c r="G93" s="39">
        <v>46164.0</v>
      </c>
      <c r="H93" s="30" t="s">
        <v>25</v>
      </c>
      <c r="I93" s="29"/>
      <c r="J93" s="42">
        <v>149.25</v>
      </c>
      <c r="K93" s="47">
        <f t="shared" si="1"/>
        <v>69004.37</v>
      </c>
    </row>
    <row r="94">
      <c r="A94" s="59" t="s">
        <v>98</v>
      </c>
      <c r="B94" s="60" t="s">
        <v>214</v>
      </c>
      <c r="C94" s="34"/>
      <c r="D94" s="34"/>
      <c r="E94" s="62"/>
      <c r="F94" s="63"/>
      <c r="G94" s="39">
        <v>46171.0</v>
      </c>
      <c r="H94" s="30" t="s">
        <v>25</v>
      </c>
      <c r="I94" s="29"/>
      <c r="J94" s="42">
        <v>-4722.24</v>
      </c>
      <c r="K94" s="47">
        <f t="shared" si="1"/>
        <v>64282.13</v>
      </c>
    </row>
    <row r="95">
      <c r="A95" s="59" t="s">
        <v>98</v>
      </c>
      <c r="B95" s="60" t="s">
        <v>215</v>
      </c>
      <c r="C95" s="34"/>
      <c r="D95" s="34"/>
      <c r="E95" s="62"/>
      <c r="F95" s="63"/>
      <c r="G95" s="39">
        <v>46171.0</v>
      </c>
      <c r="H95" s="30" t="s">
        <v>25</v>
      </c>
      <c r="I95" s="29"/>
      <c r="J95" s="42">
        <v>-4722.24</v>
      </c>
      <c r="K95" s="47">
        <f t="shared" si="1"/>
        <v>59559.89</v>
      </c>
    </row>
    <row r="96">
      <c r="A96" s="59" t="s">
        <v>98</v>
      </c>
      <c r="B96" s="60" t="s">
        <v>216</v>
      </c>
      <c r="C96" s="34"/>
      <c r="D96" s="34"/>
      <c r="E96" s="62"/>
      <c r="F96" s="63"/>
      <c r="G96" s="39">
        <v>46171.0</v>
      </c>
      <c r="H96" s="30" t="s">
        <v>25</v>
      </c>
      <c r="I96" s="118"/>
      <c r="J96" s="42">
        <v>-3477.87</v>
      </c>
      <c r="K96" s="47">
        <f t="shared" si="1"/>
        <v>56082.02</v>
      </c>
    </row>
    <row r="97">
      <c r="A97" s="59" t="s">
        <v>98</v>
      </c>
      <c r="B97" s="60" t="s">
        <v>218</v>
      </c>
      <c r="C97" s="34"/>
      <c r="D97" s="34"/>
      <c r="E97" s="62"/>
      <c r="F97" s="63"/>
      <c r="G97" s="39">
        <v>46171.0</v>
      </c>
      <c r="H97" s="30" t="s">
        <v>25</v>
      </c>
      <c r="I97" s="118"/>
      <c r="J97" s="42">
        <v>-3477.87</v>
      </c>
      <c r="K97" s="47">
        <f t="shared" si="1"/>
        <v>52604.15</v>
      </c>
    </row>
    <row r="98">
      <c r="A98" s="59" t="s">
        <v>98</v>
      </c>
      <c r="B98" s="60" t="s">
        <v>220</v>
      </c>
      <c r="C98" s="34"/>
      <c r="D98" s="34"/>
      <c r="E98" s="62"/>
      <c r="F98" s="63"/>
      <c r="G98" s="39">
        <v>46171.0</v>
      </c>
      <c r="H98" s="30" t="s">
        <v>25</v>
      </c>
      <c r="I98" s="118"/>
      <c r="J98" s="42">
        <v>-5823.07</v>
      </c>
      <c r="K98" s="47">
        <f t="shared" si="1"/>
        <v>46781.08</v>
      </c>
    </row>
    <row r="99">
      <c r="A99" s="30" t="s">
        <v>151</v>
      </c>
      <c r="B99" s="32" t="s">
        <v>234</v>
      </c>
      <c r="C99" s="34"/>
      <c r="D99" s="34"/>
      <c r="E99" s="48"/>
      <c r="F99" s="37"/>
      <c r="G99" s="39">
        <v>46174.0</v>
      </c>
      <c r="H99" s="30" t="s">
        <v>25</v>
      </c>
      <c r="I99" s="29"/>
      <c r="J99" s="42">
        <v>-14123.0</v>
      </c>
      <c r="K99" s="47">
        <f t="shared" si="1"/>
        <v>32658.08</v>
      </c>
    </row>
    <row r="100">
      <c r="A100" s="30" t="s">
        <v>54</v>
      </c>
      <c r="B100" s="32" t="s">
        <v>95</v>
      </c>
      <c r="C100" s="34"/>
      <c r="D100" s="58">
        <v>5.0</v>
      </c>
      <c r="E100" s="36">
        <v>7.0</v>
      </c>
      <c r="F100" s="37">
        <v>12.0</v>
      </c>
      <c r="G100" s="39">
        <v>46183.0</v>
      </c>
      <c r="H100" s="30" t="s">
        <v>25</v>
      </c>
      <c r="I100" s="29"/>
      <c r="J100" s="42">
        <v>13300.21</v>
      </c>
      <c r="K100" s="47">
        <f t="shared" si="1"/>
        <v>45958.29</v>
      </c>
    </row>
    <row r="101">
      <c r="A101" s="30" t="s">
        <v>54</v>
      </c>
      <c r="B101" s="32" t="s">
        <v>65</v>
      </c>
      <c r="C101" s="34"/>
      <c r="D101" s="58">
        <v>6.0</v>
      </c>
      <c r="E101" s="36">
        <v>6.0</v>
      </c>
      <c r="F101" s="37">
        <v>12.0</v>
      </c>
      <c r="G101" s="39">
        <v>46185.0</v>
      </c>
      <c r="H101" s="30" t="s">
        <v>25</v>
      </c>
      <c r="I101" s="29"/>
      <c r="J101" s="42">
        <v>3281.87</v>
      </c>
      <c r="K101" s="47">
        <f t="shared" si="1"/>
        <v>49240.16</v>
      </c>
    </row>
    <row r="102">
      <c r="A102" s="30" t="s">
        <v>54</v>
      </c>
      <c r="B102" s="32" t="s">
        <v>164</v>
      </c>
      <c r="C102" s="34"/>
      <c r="D102" s="58">
        <v>5.0</v>
      </c>
      <c r="E102" s="36">
        <v>7.0</v>
      </c>
      <c r="F102" s="37">
        <v>12.0</v>
      </c>
      <c r="G102" s="39">
        <v>46189.0</v>
      </c>
      <c r="H102" s="30" t="s">
        <v>25</v>
      </c>
      <c r="I102" s="29"/>
      <c r="J102" s="42">
        <v>2461.4</v>
      </c>
      <c r="K102" s="47">
        <f t="shared" si="1"/>
        <v>51701.56</v>
      </c>
    </row>
    <row r="103">
      <c r="A103" s="59" t="s">
        <v>98</v>
      </c>
      <c r="B103" s="60" t="s">
        <v>214</v>
      </c>
      <c r="C103" s="34"/>
      <c r="D103" s="34"/>
      <c r="E103" s="62"/>
      <c r="F103" s="63"/>
      <c r="G103" s="39">
        <v>46205.0</v>
      </c>
      <c r="H103" s="30" t="s">
        <v>25</v>
      </c>
      <c r="I103" s="29"/>
      <c r="J103" s="42">
        <v>-4722.24</v>
      </c>
      <c r="K103" s="47">
        <f t="shared" si="1"/>
        <v>46979.32</v>
      </c>
    </row>
    <row r="104">
      <c r="A104" s="59" t="s">
        <v>98</v>
      </c>
      <c r="B104" s="60" t="s">
        <v>215</v>
      </c>
      <c r="C104" s="34"/>
      <c r="D104" s="34"/>
      <c r="E104" s="62"/>
      <c r="F104" s="63"/>
      <c r="G104" s="39">
        <v>46205.0</v>
      </c>
      <c r="H104" s="30" t="s">
        <v>25</v>
      </c>
      <c r="I104" s="29"/>
      <c r="J104" s="42">
        <v>-4722.24</v>
      </c>
      <c r="K104" s="47">
        <f t="shared" si="1"/>
        <v>42257.08</v>
      </c>
    </row>
    <row r="105">
      <c r="A105" s="59" t="s">
        <v>98</v>
      </c>
      <c r="B105" s="60" t="s">
        <v>216</v>
      </c>
      <c r="C105" s="34"/>
      <c r="D105" s="34"/>
      <c r="E105" s="62"/>
      <c r="F105" s="63"/>
      <c r="G105" s="39">
        <v>46205.0</v>
      </c>
      <c r="H105" s="30" t="s">
        <v>25</v>
      </c>
      <c r="I105" s="29"/>
      <c r="J105" s="42">
        <v>-3477.87</v>
      </c>
      <c r="K105" s="47">
        <f t="shared" si="1"/>
        <v>38779.21</v>
      </c>
    </row>
    <row r="106">
      <c r="A106" s="59" t="s">
        <v>98</v>
      </c>
      <c r="B106" s="60" t="s">
        <v>218</v>
      </c>
      <c r="C106" s="34"/>
      <c r="D106" s="34"/>
      <c r="E106" s="62"/>
      <c r="F106" s="63"/>
      <c r="G106" s="39">
        <v>46205.0</v>
      </c>
      <c r="H106" s="30" t="s">
        <v>25</v>
      </c>
      <c r="I106" s="157"/>
      <c r="J106" s="42">
        <v>-3477.87</v>
      </c>
      <c r="K106" s="47">
        <f t="shared" si="1"/>
        <v>35301.34</v>
      </c>
    </row>
    <row r="107">
      <c r="A107" s="59" t="s">
        <v>98</v>
      </c>
      <c r="B107" s="60" t="s">
        <v>220</v>
      </c>
      <c r="C107" s="34"/>
      <c r="D107" s="34"/>
      <c r="E107" s="62"/>
      <c r="F107" s="63"/>
      <c r="G107" s="39">
        <v>46205.0</v>
      </c>
      <c r="H107" s="30" t="s">
        <v>25</v>
      </c>
      <c r="I107" s="157"/>
      <c r="J107" s="42">
        <v>-5823.07</v>
      </c>
      <c r="K107" s="47">
        <f t="shared" si="1"/>
        <v>29478.27</v>
      </c>
    </row>
    <row r="108">
      <c r="A108" s="59" t="s">
        <v>98</v>
      </c>
      <c r="B108" s="158" t="s">
        <v>239</v>
      </c>
      <c r="C108" s="34"/>
      <c r="D108" s="34"/>
      <c r="E108" s="159"/>
      <c r="F108" s="160"/>
      <c r="G108" s="39">
        <v>46205.0</v>
      </c>
      <c r="H108" s="30" t="s">
        <v>25</v>
      </c>
      <c r="I108" s="157"/>
      <c r="J108" s="42">
        <v>-2035.97</v>
      </c>
      <c r="K108" s="47">
        <f t="shared" si="1"/>
        <v>27442.3</v>
      </c>
    </row>
    <row r="109">
      <c r="A109" s="30" t="s">
        <v>18</v>
      </c>
      <c r="B109" s="32" t="s">
        <v>207</v>
      </c>
      <c r="C109" s="34"/>
      <c r="D109" s="34"/>
      <c r="E109" s="48"/>
      <c r="F109" s="37"/>
      <c r="G109" s="39">
        <v>46209.0</v>
      </c>
      <c r="H109" s="30" t="s">
        <v>25</v>
      </c>
      <c r="I109" s="157"/>
      <c r="J109" s="42">
        <v>-3194.73</v>
      </c>
      <c r="K109" s="47">
        <f t="shared" si="1"/>
        <v>24247.57</v>
      </c>
    </row>
    <row r="110">
      <c r="A110" s="30" t="s">
        <v>18</v>
      </c>
      <c r="B110" s="32" t="s">
        <v>240</v>
      </c>
      <c r="C110" s="34"/>
      <c r="D110" s="34"/>
      <c r="E110" s="48"/>
      <c r="F110" s="37"/>
      <c r="G110" s="39">
        <v>46209.0</v>
      </c>
      <c r="H110" s="30" t="s">
        <v>25</v>
      </c>
      <c r="I110" s="157"/>
      <c r="J110" s="42">
        <v>-3880.16</v>
      </c>
      <c r="K110" s="47">
        <f t="shared" si="1"/>
        <v>20367.41</v>
      </c>
    </row>
    <row r="111">
      <c r="A111" s="30" t="s">
        <v>88</v>
      </c>
      <c r="B111" s="32" t="s">
        <v>88</v>
      </c>
      <c r="C111" s="34"/>
      <c r="D111" s="34"/>
      <c r="E111" s="48"/>
      <c r="F111" s="37"/>
      <c r="G111" s="39">
        <v>46209.0</v>
      </c>
      <c r="H111" s="30" t="s">
        <v>25</v>
      </c>
      <c r="I111" s="157"/>
      <c r="J111" s="42">
        <v>-4254.84</v>
      </c>
      <c r="K111" s="47">
        <f t="shared" si="1"/>
        <v>16112.57</v>
      </c>
    </row>
    <row r="112">
      <c r="A112" s="161" t="s">
        <v>84</v>
      </c>
      <c r="B112" s="162" t="s">
        <v>86</v>
      </c>
      <c r="C112" s="34"/>
      <c r="D112" s="34"/>
      <c r="E112" s="163"/>
      <c r="F112" s="164"/>
      <c r="G112" s="165">
        <v>46209.0</v>
      </c>
      <c r="H112" s="30" t="s">
        <v>25</v>
      </c>
      <c r="I112" s="157"/>
      <c r="J112" s="42">
        <v>-16472.9</v>
      </c>
      <c r="K112" s="47">
        <f t="shared" si="1"/>
        <v>-360.33</v>
      </c>
    </row>
    <row r="113">
      <c r="A113" s="30" t="s">
        <v>88</v>
      </c>
      <c r="B113" s="32" t="s">
        <v>225</v>
      </c>
      <c r="C113" s="34"/>
      <c r="D113" s="34"/>
      <c r="E113" s="48"/>
      <c r="F113" s="37"/>
      <c r="G113" s="39">
        <v>46209.0</v>
      </c>
      <c r="H113" s="30" t="s">
        <v>25</v>
      </c>
      <c r="I113" s="157"/>
      <c r="J113" s="42">
        <v>1934.0</v>
      </c>
      <c r="K113" s="47">
        <f t="shared" si="1"/>
        <v>1573.67</v>
      </c>
    </row>
    <row r="114">
      <c r="A114" s="30" t="s">
        <v>84</v>
      </c>
      <c r="B114" s="32" t="s">
        <v>241</v>
      </c>
      <c r="C114" s="34"/>
      <c r="D114" s="34"/>
      <c r="E114" s="48"/>
      <c r="F114" s="37"/>
      <c r="G114" s="39">
        <v>46209.0</v>
      </c>
      <c r="H114" s="30" t="s">
        <v>25</v>
      </c>
      <c r="I114" s="157"/>
      <c r="J114" s="42">
        <v>7496.6</v>
      </c>
      <c r="K114" s="47">
        <f t="shared" si="1"/>
        <v>9070.27</v>
      </c>
    </row>
    <row r="115">
      <c r="A115" s="30" t="s">
        <v>54</v>
      </c>
      <c r="B115" s="32" t="s">
        <v>161</v>
      </c>
      <c r="C115" s="34"/>
      <c r="D115" s="58">
        <v>6.0</v>
      </c>
      <c r="E115" s="36">
        <v>6.0</v>
      </c>
      <c r="F115" s="37">
        <v>12.0</v>
      </c>
      <c r="G115" s="39">
        <v>46209.0</v>
      </c>
      <c r="H115" s="30" t="s">
        <v>25</v>
      </c>
      <c r="I115" s="157"/>
      <c r="J115" s="42">
        <v>9025.14</v>
      </c>
      <c r="K115" s="47">
        <f t="shared" si="1"/>
        <v>18095.41</v>
      </c>
    </row>
    <row r="116">
      <c r="A116" s="30" t="s">
        <v>54</v>
      </c>
      <c r="B116" s="32" t="s">
        <v>85</v>
      </c>
      <c r="C116" s="34"/>
      <c r="D116" s="58">
        <v>5.0</v>
      </c>
      <c r="E116" s="36">
        <v>7.0</v>
      </c>
      <c r="F116" s="37">
        <v>12.0</v>
      </c>
      <c r="G116" s="39">
        <v>46209.0</v>
      </c>
      <c r="H116" s="30" t="s">
        <v>25</v>
      </c>
      <c r="I116" s="157"/>
      <c r="J116" s="42">
        <v>3281.87</v>
      </c>
      <c r="K116" s="47">
        <f t="shared" si="1"/>
        <v>21377.28</v>
      </c>
    </row>
    <row r="117">
      <c r="A117" s="30" t="s">
        <v>117</v>
      </c>
      <c r="B117" s="32" t="s">
        <v>118</v>
      </c>
      <c r="C117" s="34"/>
      <c r="D117" s="34"/>
      <c r="E117" s="48"/>
      <c r="F117" s="37"/>
      <c r="G117" s="39">
        <v>46209.0</v>
      </c>
      <c r="H117" s="30" t="s">
        <v>25</v>
      </c>
      <c r="I117" s="157"/>
      <c r="J117" s="42">
        <v>-482.87</v>
      </c>
      <c r="K117" s="47">
        <f t="shared" si="1"/>
        <v>20894.41</v>
      </c>
    </row>
    <row r="118">
      <c r="A118" s="30" t="s">
        <v>195</v>
      </c>
      <c r="B118" s="32" t="s">
        <v>196</v>
      </c>
      <c r="C118" s="34"/>
      <c r="D118" s="34"/>
      <c r="E118" s="48"/>
      <c r="F118" s="37"/>
      <c r="G118" s="39">
        <v>46211.0</v>
      </c>
      <c r="H118" s="30" t="s">
        <v>25</v>
      </c>
      <c r="I118" s="157"/>
      <c r="J118" s="42">
        <v>-199.0</v>
      </c>
      <c r="K118" s="47">
        <f t="shared" si="1"/>
        <v>20695.41</v>
      </c>
    </row>
    <row r="119">
      <c r="A119" s="30" t="s">
        <v>195</v>
      </c>
      <c r="B119" s="32" t="s">
        <v>242</v>
      </c>
      <c r="C119" s="34"/>
      <c r="D119" s="34"/>
      <c r="E119" s="48"/>
      <c r="F119" s="37"/>
      <c r="G119" s="39">
        <v>46211.0</v>
      </c>
      <c r="H119" s="30" t="s">
        <v>25</v>
      </c>
      <c r="I119" s="157"/>
      <c r="J119" s="42">
        <v>-100.0</v>
      </c>
      <c r="K119" s="47">
        <f t="shared" si="1"/>
        <v>20595.41</v>
      </c>
    </row>
    <row r="120">
      <c r="A120" s="30" t="s">
        <v>54</v>
      </c>
      <c r="B120" s="32" t="s">
        <v>161</v>
      </c>
      <c r="C120" s="34"/>
      <c r="D120" s="58">
        <v>7.0</v>
      </c>
      <c r="E120" s="36">
        <v>5.0</v>
      </c>
      <c r="F120" s="37">
        <v>12.0</v>
      </c>
      <c r="G120" s="39">
        <v>46211.0</v>
      </c>
      <c r="H120" s="30" t="s">
        <v>25</v>
      </c>
      <c r="I120" s="157"/>
      <c r="J120" s="42">
        <v>9025.14</v>
      </c>
      <c r="K120" s="47">
        <f t="shared" si="1"/>
        <v>29620.55</v>
      </c>
    </row>
    <row r="121">
      <c r="A121" s="30" t="s">
        <v>18</v>
      </c>
      <c r="B121" s="32" t="s">
        <v>207</v>
      </c>
      <c r="C121" s="34"/>
      <c r="D121" s="34"/>
      <c r="E121" s="48"/>
      <c r="F121" s="37"/>
      <c r="G121" s="39">
        <v>46213.0</v>
      </c>
      <c r="H121" s="30" t="s">
        <v>25</v>
      </c>
      <c r="I121" s="157"/>
      <c r="J121" s="42">
        <v>-3194.73</v>
      </c>
      <c r="K121" s="47">
        <f t="shared" si="1"/>
        <v>26425.82</v>
      </c>
    </row>
    <row r="122">
      <c r="A122" s="30" t="s">
        <v>54</v>
      </c>
      <c r="B122" s="32" t="s">
        <v>85</v>
      </c>
      <c r="C122" s="34"/>
      <c r="D122" s="58">
        <v>6.0</v>
      </c>
      <c r="E122" s="36">
        <v>6.0</v>
      </c>
      <c r="F122" s="37">
        <v>12.0</v>
      </c>
      <c r="G122" s="39">
        <v>46213.0</v>
      </c>
      <c r="H122" s="30" t="s">
        <v>25</v>
      </c>
      <c r="I122" s="157"/>
      <c r="J122" s="42">
        <v>3281.87</v>
      </c>
      <c r="K122" s="47">
        <f t="shared" si="1"/>
        <v>29707.69</v>
      </c>
    </row>
    <row r="123">
      <c r="A123" s="30" t="s">
        <v>151</v>
      </c>
      <c r="B123" s="166" t="s">
        <v>243</v>
      </c>
      <c r="C123" s="34"/>
      <c r="D123" s="34"/>
      <c r="E123" s="48"/>
      <c r="F123" s="37"/>
      <c r="G123" s="39">
        <v>46226.0</v>
      </c>
      <c r="H123" s="30" t="s">
        <v>25</v>
      </c>
      <c r="I123" s="157"/>
      <c r="J123" s="42">
        <v>14214.6</v>
      </c>
      <c r="K123" s="47">
        <f t="shared" si="1"/>
        <v>43922.29</v>
      </c>
    </row>
    <row r="124">
      <c r="A124" s="30" t="s">
        <v>210</v>
      </c>
      <c r="B124" s="166" t="s">
        <v>211</v>
      </c>
      <c r="C124" s="167" t="s">
        <v>244</v>
      </c>
      <c r="D124" s="167"/>
      <c r="E124" s="48"/>
      <c r="F124" s="37"/>
      <c r="G124" s="39">
        <v>46226.0</v>
      </c>
      <c r="H124" s="30" t="s">
        <v>25</v>
      </c>
      <c r="I124" s="157"/>
      <c r="J124" s="42">
        <v>-12033.13</v>
      </c>
      <c r="K124" s="47">
        <f t="shared" si="1"/>
        <v>31889.16</v>
      </c>
    </row>
    <row r="125">
      <c r="A125" s="30" t="s">
        <v>88</v>
      </c>
      <c r="B125" s="168" t="s">
        <v>245</v>
      </c>
      <c r="C125" s="34"/>
      <c r="D125" s="34"/>
      <c r="E125" s="48"/>
      <c r="F125" s="37"/>
      <c r="G125" s="39">
        <v>46227.0</v>
      </c>
      <c r="H125" s="30" t="s">
        <v>25</v>
      </c>
      <c r="I125" s="157"/>
      <c r="J125" s="42">
        <v>1845.52</v>
      </c>
      <c r="K125" s="47">
        <f t="shared" si="1"/>
        <v>33734.68</v>
      </c>
    </row>
    <row r="126">
      <c r="A126" s="30" t="s">
        <v>88</v>
      </c>
      <c r="B126" s="168" t="s">
        <v>246</v>
      </c>
      <c r="C126" s="34"/>
      <c r="D126" s="34"/>
      <c r="E126" s="48"/>
      <c r="F126" s="37"/>
      <c r="G126" s="39">
        <v>46227.0</v>
      </c>
      <c r="H126" s="30" t="s">
        <v>25</v>
      </c>
      <c r="I126" s="157"/>
      <c r="J126" s="42">
        <v>-4246.78</v>
      </c>
      <c r="K126" s="47">
        <f t="shared" si="1"/>
        <v>29487.9</v>
      </c>
    </row>
    <row r="127">
      <c r="A127" s="30" t="s">
        <v>176</v>
      </c>
      <c r="B127" s="32" t="s">
        <v>247</v>
      </c>
      <c r="C127" s="34"/>
      <c r="D127" s="34"/>
      <c r="E127" s="48"/>
      <c r="F127" s="37"/>
      <c r="G127" s="39">
        <v>46227.0</v>
      </c>
      <c r="H127" s="30" t="s">
        <v>25</v>
      </c>
      <c r="I127" s="169" t="s">
        <v>58</v>
      </c>
      <c r="J127" s="42">
        <v>-250.0</v>
      </c>
      <c r="K127" s="47">
        <f t="shared" si="1"/>
        <v>29237.9</v>
      </c>
    </row>
    <row r="128">
      <c r="A128" s="30" t="s">
        <v>88</v>
      </c>
      <c r="B128" s="168" t="s">
        <v>248</v>
      </c>
      <c r="C128" s="34"/>
      <c r="D128" s="34"/>
      <c r="E128" s="48"/>
      <c r="F128" s="37"/>
      <c r="G128" s="39">
        <v>46227.0</v>
      </c>
      <c r="H128" s="30" t="s">
        <v>25</v>
      </c>
      <c r="I128" s="157"/>
      <c r="J128" s="42">
        <v>-2002.19</v>
      </c>
      <c r="K128" s="47">
        <f t="shared" si="1"/>
        <v>27235.71</v>
      </c>
    </row>
    <row r="129">
      <c r="A129" s="30" t="s">
        <v>84</v>
      </c>
      <c r="B129" s="168" t="s">
        <v>86</v>
      </c>
      <c r="C129" s="34"/>
      <c r="D129" s="34"/>
      <c r="E129" s="48"/>
      <c r="F129" s="37"/>
      <c r="G129" s="39">
        <v>46227.0</v>
      </c>
      <c r="H129" s="30" t="s">
        <v>25</v>
      </c>
      <c r="I129" s="157"/>
      <c r="J129" s="170">
        <v>7169.01</v>
      </c>
      <c r="K129" s="47">
        <f t="shared" si="1"/>
        <v>34404.72</v>
      </c>
    </row>
    <row r="130">
      <c r="A130" s="30" t="s">
        <v>84</v>
      </c>
      <c r="B130" s="168" t="s">
        <v>249</v>
      </c>
      <c r="C130" s="34"/>
      <c r="D130" s="34"/>
      <c r="E130" s="48"/>
      <c r="F130" s="37"/>
      <c r="G130" s="39">
        <v>46227.0</v>
      </c>
      <c r="H130" s="30" t="s">
        <v>25</v>
      </c>
      <c r="I130" s="157"/>
      <c r="J130" s="171">
        <v>-16422.72</v>
      </c>
      <c r="K130" s="47">
        <f t="shared" si="1"/>
        <v>17982</v>
      </c>
    </row>
    <row r="131">
      <c r="A131" s="30" t="s">
        <v>186</v>
      </c>
      <c r="B131" s="172" t="s">
        <v>186</v>
      </c>
      <c r="C131" s="34"/>
      <c r="D131" s="34"/>
      <c r="E131" s="48"/>
      <c r="F131" s="37"/>
      <c r="G131" s="39">
        <v>46227.0</v>
      </c>
      <c r="H131" s="30" t="s">
        <v>25</v>
      </c>
      <c r="I131" s="157"/>
      <c r="J131" s="42">
        <v>-72.62</v>
      </c>
      <c r="K131" s="47">
        <f t="shared" si="1"/>
        <v>17909.38</v>
      </c>
    </row>
    <row r="132">
      <c r="A132" s="30" t="s">
        <v>195</v>
      </c>
      <c r="B132" s="173" t="s">
        <v>250</v>
      </c>
      <c r="C132" s="34"/>
      <c r="D132" s="34"/>
      <c r="E132" s="48"/>
      <c r="F132" s="37"/>
      <c r="G132" s="39">
        <v>46230.0</v>
      </c>
      <c r="H132" s="30" t="s">
        <v>158</v>
      </c>
      <c r="I132" s="157"/>
      <c r="J132" s="174">
        <v>72.62</v>
      </c>
      <c r="K132" s="47">
        <f t="shared" si="1"/>
        <v>17982</v>
      </c>
    </row>
    <row r="133">
      <c r="A133" s="59" t="s">
        <v>98</v>
      </c>
      <c r="B133" s="60" t="s">
        <v>214</v>
      </c>
      <c r="C133" s="34"/>
      <c r="D133" s="34"/>
      <c r="E133" s="62"/>
      <c r="F133" s="63"/>
      <c r="G133" s="39">
        <v>46238.0</v>
      </c>
      <c r="H133" s="30" t="s">
        <v>25</v>
      </c>
      <c r="I133" s="157"/>
      <c r="J133" s="42">
        <v>-4722.24</v>
      </c>
      <c r="K133" s="47">
        <f t="shared" si="1"/>
        <v>13259.76</v>
      </c>
    </row>
    <row r="134">
      <c r="A134" s="59" t="s">
        <v>98</v>
      </c>
      <c r="B134" s="60" t="s">
        <v>215</v>
      </c>
      <c r="C134" s="34"/>
      <c r="D134" s="34"/>
      <c r="E134" s="62"/>
      <c r="F134" s="63"/>
      <c r="G134" s="39">
        <v>46238.0</v>
      </c>
      <c r="H134" s="30" t="s">
        <v>25</v>
      </c>
      <c r="I134" s="157"/>
      <c r="J134" s="42">
        <v>-4722.24</v>
      </c>
      <c r="K134" s="47">
        <f t="shared" si="1"/>
        <v>8537.52</v>
      </c>
    </row>
    <row r="135">
      <c r="A135" s="59" t="s">
        <v>98</v>
      </c>
      <c r="B135" s="60" t="s">
        <v>218</v>
      </c>
      <c r="C135" s="34"/>
      <c r="D135" s="34"/>
      <c r="E135" s="62"/>
      <c r="F135" s="63"/>
      <c r="G135" s="39">
        <v>46238.0</v>
      </c>
      <c r="H135" s="30" t="s">
        <v>25</v>
      </c>
      <c r="I135" s="157"/>
      <c r="J135" s="42">
        <v>-3477.87</v>
      </c>
      <c r="K135" s="47">
        <f t="shared" si="1"/>
        <v>5059.65</v>
      </c>
    </row>
    <row r="136">
      <c r="A136" s="59" t="s">
        <v>98</v>
      </c>
      <c r="B136" s="60" t="s">
        <v>220</v>
      </c>
      <c r="C136" s="34"/>
      <c r="D136" s="34"/>
      <c r="E136" s="62"/>
      <c r="F136" s="63"/>
      <c r="G136" s="39">
        <v>46238.0</v>
      </c>
      <c r="H136" s="30" t="s">
        <v>25</v>
      </c>
      <c r="I136" s="157"/>
      <c r="J136" s="42">
        <v>-5823.07</v>
      </c>
      <c r="K136" s="47">
        <f t="shared" si="1"/>
        <v>-763.42</v>
      </c>
    </row>
    <row r="137">
      <c r="A137" s="59" t="s">
        <v>98</v>
      </c>
      <c r="B137" s="158" t="s">
        <v>239</v>
      </c>
      <c r="C137" s="34"/>
      <c r="D137" s="34"/>
      <c r="E137" s="159"/>
      <c r="F137" s="160"/>
      <c r="G137" s="39">
        <v>46238.0</v>
      </c>
      <c r="H137" s="30" t="s">
        <v>25</v>
      </c>
      <c r="I137" s="157"/>
      <c r="J137" s="42">
        <v>-4549.4</v>
      </c>
      <c r="K137" s="47">
        <f t="shared" si="1"/>
        <v>-5312.82</v>
      </c>
    </row>
    <row r="138">
      <c r="A138" s="30" t="s">
        <v>18</v>
      </c>
      <c r="B138" s="32" t="s">
        <v>240</v>
      </c>
      <c r="C138" s="34"/>
      <c r="D138" s="34"/>
      <c r="E138" s="48"/>
      <c r="F138" s="37"/>
      <c r="G138" s="39">
        <v>46238.0</v>
      </c>
      <c r="H138" s="30" t="s">
        <v>158</v>
      </c>
      <c r="I138" s="157"/>
      <c r="J138" s="42">
        <v>-3880.16</v>
      </c>
      <c r="K138" s="47">
        <f t="shared" si="1"/>
        <v>-9192.98</v>
      </c>
    </row>
    <row r="139">
      <c r="A139" s="30" t="s">
        <v>117</v>
      </c>
      <c r="B139" s="32" t="s">
        <v>118</v>
      </c>
      <c r="C139" s="34"/>
      <c r="D139" s="34"/>
      <c r="E139" s="48"/>
      <c r="F139" s="37"/>
      <c r="G139" s="39">
        <v>46238.0</v>
      </c>
      <c r="H139" s="30" t="s">
        <v>158</v>
      </c>
      <c r="I139" s="157"/>
      <c r="J139" s="42">
        <v>-482.87</v>
      </c>
      <c r="K139" s="47">
        <f t="shared" si="1"/>
        <v>-9675.85</v>
      </c>
    </row>
    <row r="140">
      <c r="A140" s="175" t="s">
        <v>210</v>
      </c>
      <c r="B140" s="176" t="s">
        <v>238</v>
      </c>
      <c r="C140" s="177"/>
      <c r="D140" s="177"/>
      <c r="E140" s="178"/>
      <c r="F140" s="179"/>
      <c r="G140" s="180">
        <v>46238.0</v>
      </c>
      <c r="H140" s="175" t="s">
        <v>25</v>
      </c>
      <c r="I140" s="181"/>
      <c r="J140" s="170">
        <v>13460.0</v>
      </c>
      <c r="K140" s="156">
        <f t="shared" si="1"/>
        <v>3784.15</v>
      </c>
    </row>
    <row r="141">
      <c r="E141" s="1"/>
      <c r="F141" s="1"/>
      <c r="G141" s="2"/>
    </row>
    <row r="142">
      <c r="E142" s="1"/>
      <c r="F142" s="1"/>
      <c r="G142" s="2"/>
    </row>
    <row r="143">
      <c r="E143" s="1"/>
      <c r="F143" s="1"/>
      <c r="G143" s="2"/>
    </row>
    <row r="144">
      <c r="E144" s="1"/>
      <c r="F144" s="1"/>
      <c r="G144" s="2"/>
    </row>
    <row r="145">
      <c r="E145" s="1"/>
      <c r="F145" s="1"/>
      <c r="G145" s="2"/>
    </row>
    <row r="146">
      <c r="E146" s="1"/>
      <c r="F146" s="1"/>
      <c r="G146" s="2"/>
    </row>
    <row r="147">
      <c r="E147" s="1"/>
      <c r="F147" s="1"/>
      <c r="G147" s="2"/>
    </row>
    <row r="148">
      <c r="E148" s="1"/>
      <c r="F148" s="1"/>
      <c r="G148" s="2"/>
    </row>
    <row r="149">
      <c r="E149" s="1"/>
      <c r="F149" s="1"/>
      <c r="G149" s="2"/>
    </row>
    <row r="150">
      <c r="E150" s="1"/>
      <c r="F150" s="1"/>
      <c r="G150" s="2"/>
    </row>
    <row r="151">
      <c r="E151" s="1"/>
      <c r="F151" s="1"/>
      <c r="G151" s="2"/>
    </row>
    <row r="152">
      <c r="E152" s="1"/>
      <c r="F152" s="1"/>
      <c r="G152" s="2"/>
    </row>
    <row r="153">
      <c r="E153" s="1"/>
      <c r="F153" s="1"/>
      <c r="G153" s="2"/>
    </row>
    <row r="154">
      <c r="E154" s="1"/>
      <c r="F154" s="1"/>
      <c r="G154" s="2"/>
    </row>
    <row r="155">
      <c r="E155" s="1"/>
      <c r="F155" s="1"/>
      <c r="G155" s="2"/>
    </row>
    <row r="156">
      <c r="E156" s="1"/>
      <c r="F156" s="1"/>
      <c r="G156" s="2"/>
    </row>
    <row r="157">
      <c r="E157" s="1"/>
      <c r="F157" s="1"/>
      <c r="G157" s="2"/>
    </row>
    <row r="158">
      <c r="E158" s="1"/>
      <c r="F158" s="1"/>
      <c r="G158" s="2"/>
    </row>
    <row r="159">
      <c r="E159" s="1"/>
      <c r="F159" s="1"/>
      <c r="G159" s="2"/>
    </row>
    <row r="160">
      <c r="E160" s="1"/>
      <c r="F160" s="1"/>
      <c r="G160" s="2"/>
    </row>
    <row r="161">
      <c r="E161" s="1"/>
      <c r="F161" s="1"/>
      <c r="G161" s="2"/>
    </row>
    <row r="162">
      <c r="E162" s="1"/>
      <c r="F162" s="1"/>
      <c r="G162" s="2"/>
    </row>
    <row r="163">
      <c r="E163" s="1"/>
      <c r="F163" s="1"/>
      <c r="G163" s="2"/>
    </row>
    <row r="164">
      <c r="E164" s="1"/>
      <c r="F164" s="1"/>
      <c r="G164" s="2"/>
    </row>
    <row r="165">
      <c r="E165" s="1"/>
      <c r="F165" s="1"/>
      <c r="G165" s="2"/>
    </row>
    <row r="166">
      <c r="E166" s="1"/>
      <c r="F166" s="1"/>
      <c r="G166" s="2"/>
    </row>
    <row r="167">
      <c r="E167" s="1"/>
      <c r="F167" s="1"/>
      <c r="G167" s="2"/>
    </row>
    <row r="168">
      <c r="E168" s="1"/>
      <c r="F168" s="1"/>
      <c r="G168" s="2"/>
    </row>
    <row r="169">
      <c r="E169" s="1"/>
      <c r="F169" s="1"/>
      <c r="G169" s="2"/>
    </row>
    <row r="170">
      <c r="E170" s="1"/>
      <c r="F170" s="1"/>
      <c r="G170" s="2"/>
    </row>
    <row r="171">
      <c r="E171" s="1"/>
      <c r="F171" s="1"/>
      <c r="G171" s="2"/>
    </row>
    <row r="172">
      <c r="E172" s="1"/>
      <c r="F172" s="1"/>
      <c r="G172" s="2"/>
    </row>
    <row r="173">
      <c r="E173" s="1"/>
      <c r="F173" s="1"/>
      <c r="G173" s="2"/>
    </row>
    <row r="174">
      <c r="E174" s="1"/>
      <c r="F174" s="1"/>
      <c r="G174" s="2"/>
    </row>
    <row r="175">
      <c r="E175" s="1"/>
      <c r="F175" s="1"/>
      <c r="G175" s="2"/>
    </row>
    <row r="176">
      <c r="E176" s="1"/>
      <c r="F176" s="1"/>
      <c r="G176" s="2"/>
    </row>
    <row r="177">
      <c r="E177" s="1"/>
      <c r="F177" s="1"/>
      <c r="G177" s="2"/>
    </row>
    <row r="178">
      <c r="E178" s="1"/>
      <c r="F178" s="1"/>
      <c r="G178" s="2"/>
    </row>
    <row r="179">
      <c r="E179" s="1"/>
      <c r="F179" s="1"/>
      <c r="G179" s="2"/>
    </row>
    <row r="180">
      <c r="E180" s="1"/>
      <c r="F180" s="1"/>
      <c r="G180" s="2"/>
    </row>
    <row r="181">
      <c r="E181" s="1"/>
      <c r="F181" s="1"/>
      <c r="G181" s="2"/>
    </row>
    <row r="182">
      <c r="E182" s="1"/>
      <c r="F182" s="1"/>
      <c r="G182" s="2"/>
    </row>
    <row r="183">
      <c r="E183" s="1"/>
      <c r="F183" s="1"/>
      <c r="G183" s="2"/>
    </row>
    <row r="184">
      <c r="E184" s="1"/>
      <c r="F184" s="1"/>
      <c r="G184" s="2"/>
    </row>
    <row r="185">
      <c r="E185" s="1"/>
      <c r="F185" s="1"/>
      <c r="G185" s="2"/>
    </row>
    <row r="186">
      <c r="E186" s="1"/>
      <c r="F186" s="1"/>
      <c r="G186" s="2"/>
    </row>
    <row r="187">
      <c r="E187" s="1"/>
      <c r="F187" s="1"/>
      <c r="G187" s="2"/>
    </row>
    <row r="188">
      <c r="E188" s="1"/>
      <c r="F188" s="1"/>
      <c r="G188" s="2"/>
    </row>
    <row r="189">
      <c r="E189" s="1"/>
      <c r="F189" s="1"/>
      <c r="G189" s="2"/>
    </row>
    <row r="190">
      <c r="E190" s="1"/>
      <c r="F190" s="1"/>
      <c r="G190" s="2"/>
    </row>
    <row r="191">
      <c r="E191" s="1"/>
      <c r="F191" s="1"/>
      <c r="G191" s="2"/>
    </row>
    <row r="192">
      <c r="E192" s="1"/>
      <c r="F192" s="1"/>
      <c r="G192" s="2"/>
    </row>
    <row r="193">
      <c r="E193" s="1"/>
      <c r="F193" s="1"/>
      <c r="G193" s="2"/>
    </row>
    <row r="194">
      <c r="E194" s="1"/>
      <c r="F194" s="1"/>
      <c r="G194" s="2"/>
    </row>
    <row r="195">
      <c r="E195" s="1"/>
      <c r="F195" s="1"/>
      <c r="G195" s="2"/>
    </row>
    <row r="196">
      <c r="E196" s="1"/>
      <c r="F196" s="1"/>
      <c r="G196" s="2"/>
    </row>
    <row r="197">
      <c r="E197" s="1"/>
      <c r="F197" s="1"/>
      <c r="G197" s="2"/>
    </row>
    <row r="198">
      <c r="E198" s="1"/>
      <c r="F198" s="1"/>
      <c r="G198" s="2"/>
    </row>
    <row r="199">
      <c r="E199" s="1"/>
      <c r="F199" s="1"/>
      <c r="G199" s="2"/>
    </row>
    <row r="200">
      <c r="E200" s="1"/>
      <c r="F200" s="1"/>
      <c r="G200" s="2"/>
    </row>
    <row r="201">
      <c r="E201" s="1"/>
      <c r="F201" s="1"/>
      <c r="G201" s="2"/>
    </row>
    <row r="202">
      <c r="E202" s="1"/>
      <c r="F202" s="1"/>
      <c r="G202" s="2"/>
    </row>
    <row r="203">
      <c r="E203" s="1"/>
      <c r="F203" s="1"/>
      <c r="G203" s="2"/>
    </row>
    <row r="204">
      <c r="E204" s="1"/>
      <c r="F204" s="1"/>
      <c r="G204" s="2"/>
    </row>
    <row r="205">
      <c r="E205" s="1"/>
      <c r="F205" s="1"/>
      <c r="G205" s="2"/>
    </row>
    <row r="206">
      <c r="E206" s="1"/>
      <c r="F206" s="1"/>
      <c r="G206" s="2"/>
    </row>
    <row r="207">
      <c r="E207" s="1"/>
      <c r="F207" s="1"/>
      <c r="G207" s="2"/>
    </row>
    <row r="208">
      <c r="E208" s="1"/>
      <c r="F208" s="1"/>
      <c r="G208" s="2"/>
    </row>
    <row r="209">
      <c r="E209" s="1"/>
      <c r="F209" s="1"/>
      <c r="G209" s="2"/>
    </row>
    <row r="210">
      <c r="E210" s="1"/>
      <c r="F210" s="1"/>
      <c r="G210" s="2"/>
    </row>
    <row r="211">
      <c r="E211" s="1"/>
      <c r="F211" s="1"/>
      <c r="G211" s="2"/>
    </row>
    <row r="212">
      <c r="E212" s="1"/>
      <c r="F212" s="1"/>
      <c r="G212" s="2"/>
    </row>
    <row r="213">
      <c r="E213" s="1"/>
      <c r="F213" s="1"/>
      <c r="G213" s="2"/>
    </row>
    <row r="214">
      <c r="E214" s="1"/>
      <c r="F214" s="1"/>
      <c r="G214" s="2"/>
    </row>
    <row r="215">
      <c r="E215" s="1"/>
      <c r="F215" s="1"/>
      <c r="G215" s="2"/>
    </row>
    <row r="216">
      <c r="E216" s="1"/>
      <c r="F216" s="1"/>
      <c r="G216" s="2"/>
    </row>
    <row r="217">
      <c r="E217" s="1"/>
      <c r="F217" s="1"/>
      <c r="G217" s="2"/>
    </row>
    <row r="218">
      <c r="E218" s="1"/>
      <c r="F218" s="1"/>
      <c r="G218" s="2"/>
    </row>
    <row r="219">
      <c r="E219" s="1"/>
      <c r="F219" s="1"/>
      <c r="G219" s="2"/>
    </row>
    <row r="220">
      <c r="E220" s="1"/>
      <c r="F220" s="1"/>
      <c r="G220" s="2"/>
    </row>
    <row r="221">
      <c r="E221" s="1"/>
      <c r="F221" s="1"/>
      <c r="G221" s="2"/>
    </row>
    <row r="222">
      <c r="E222" s="1"/>
      <c r="F222" s="1"/>
      <c r="G222" s="2"/>
    </row>
    <row r="223">
      <c r="E223" s="1"/>
      <c r="F223" s="1"/>
      <c r="G223" s="2"/>
    </row>
    <row r="224">
      <c r="E224" s="1"/>
      <c r="F224" s="1"/>
      <c r="G224" s="2"/>
    </row>
    <row r="225">
      <c r="E225" s="1"/>
      <c r="F225" s="1"/>
      <c r="G225" s="2"/>
    </row>
    <row r="226">
      <c r="E226" s="1"/>
      <c r="F226" s="1"/>
      <c r="G226" s="2"/>
    </row>
    <row r="227">
      <c r="E227" s="1"/>
      <c r="F227" s="1"/>
      <c r="G227" s="2"/>
    </row>
    <row r="228">
      <c r="E228" s="1"/>
      <c r="F228" s="1"/>
      <c r="G228" s="2"/>
    </row>
    <row r="229">
      <c r="E229" s="1"/>
      <c r="F229" s="1"/>
      <c r="G229" s="2"/>
    </row>
    <row r="230">
      <c r="E230" s="1"/>
      <c r="F230" s="1"/>
      <c r="G230" s="2"/>
    </row>
    <row r="231">
      <c r="E231" s="1"/>
      <c r="F231" s="1"/>
      <c r="G231" s="2"/>
    </row>
    <row r="232">
      <c r="E232" s="1"/>
      <c r="F232" s="1"/>
      <c r="G232" s="2"/>
    </row>
    <row r="233">
      <c r="E233" s="1"/>
      <c r="F233" s="1"/>
      <c r="G233" s="2"/>
    </row>
    <row r="234">
      <c r="E234" s="1"/>
      <c r="F234" s="1"/>
      <c r="G234" s="2"/>
    </row>
    <row r="235">
      <c r="E235" s="1"/>
      <c r="F235" s="1"/>
      <c r="G235" s="2"/>
    </row>
    <row r="236">
      <c r="E236" s="1"/>
      <c r="F236" s="1"/>
      <c r="G236" s="2"/>
    </row>
    <row r="237">
      <c r="E237" s="1"/>
      <c r="F237" s="1"/>
      <c r="G237" s="2"/>
    </row>
    <row r="238">
      <c r="E238" s="1"/>
      <c r="F238" s="1"/>
      <c r="G238" s="2"/>
    </row>
    <row r="239">
      <c r="E239" s="1"/>
      <c r="F239" s="1"/>
      <c r="G239" s="2"/>
    </row>
    <row r="240">
      <c r="E240" s="1"/>
      <c r="F240" s="1"/>
      <c r="G240" s="2"/>
    </row>
    <row r="241">
      <c r="E241" s="1"/>
      <c r="F241" s="1"/>
      <c r="G241" s="2"/>
    </row>
    <row r="242">
      <c r="E242" s="1"/>
      <c r="F242" s="1"/>
      <c r="G242" s="2"/>
    </row>
    <row r="243">
      <c r="E243" s="1"/>
      <c r="F243" s="1"/>
      <c r="G243" s="2"/>
    </row>
    <row r="244">
      <c r="E244" s="1"/>
      <c r="F244" s="1"/>
      <c r="G244" s="2"/>
    </row>
    <row r="245">
      <c r="E245" s="1"/>
      <c r="F245" s="1"/>
      <c r="G245" s="2"/>
    </row>
    <row r="246">
      <c r="E246" s="1"/>
      <c r="F246" s="1"/>
      <c r="G246" s="2"/>
    </row>
    <row r="247">
      <c r="E247" s="1"/>
      <c r="F247" s="1"/>
      <c r="G247" s="2"/>
    </row>
    <row r="248">
      <c r="E248" s="1"/>
      <c r="F248" s="1"/>
      <c r="G248" s="2"/>
    </row>
    <row r="249">
      <c r="E249" s="1"/>
      <c r="F249" s="1"/>
      <c r="G249" s="2"/>
    </row>
    <row r="250">
      <c r="E250" s="1"/>
      <c r="F250" s="1"/>
      <c r="G250" s="2"/>
    </row>
    <row r="251">
      <c r="E251" s="1"/>
      <c r="F251" s="1"/>
      <c r="G251" s="2"/>
    </row>
    <row r="252">
      <c r="E252" s="1"/>
      <c r="F252" s="1"/>
      <c r="G252" s="2"/>
    </row>
    <row r="253">
      <c r="E253" s="1"/>
      <c r="F253" s="1"/>
      <c r="G253" s="2"/>
    </row>
    <row r="254">
      <c r="E254" s="1"/>
      <c r="F254" s="1"/>
      <c r="G254" s="2"/>
    </row>
    <row r="255">
      <c r="E255" s="1"/>
      <c r="F255" s="1"/>
      <c r="G255" s="2"/>
    </row>
    <row r="256">
      <c r="E256" s="1"/>
      <c r="F256" s="1"/>
      <c r="G256" s="2"/>
    </row>
    <row r="257">
      <c r="E257" s="1"/>
      <c r="F257" s="1"/>
      <c r="G257" s="2"/>
    </row>
    <row r="258">
      <c r="E258" s="1"/>
      <c r="F258" s="1"/>
      <c r="G258" s="2"/>
    </row>
    <row r="259">
      <c r="E259" s="1"/>
      <c r="F259" s="1"/>
      <c r="G259" s="2"/>
    </row>
    <row r="260">
      <c r="E260" s="1"/>
      <c r="F260" s="1"/>
      <c r="G260" s="2"/>
    </row>
    <row r="261">
      <c r="E261" s="1"/>
      <c r="F261" s="1"/>
      <c r="G261" s="2"/>
    </row>
    <row r="262">
      <c r="E262" s="1"/>
      <c r="F262" s="1"/>
      <c r="G262" s="2"/>
    </row>
    <row r="263">
      <c r="E263" s="1"/>
      <c r="F263" s="1"/>
      <c r="G263" s="2"/>
    </row>
    <row r="264">
      <c r="E264" s="1"/>
      <c r="F264" s="1"/>
      <c r="G264" s="2"/>
    </row>
    <row r="265">
      <c r="E265" s="1"/>
      <c r="F265" s="1"/>
      <c r="G265" s="2"/>
    </row>
    <row r="266">
      <c r="E266" s="1"/>
      <c r="F266" s="1"/>
      <c r="G266" s="2"/>
    </row>
    <row r="267">
      <c r="E267" s="1"/>
      <c r="F267" s="1"/>
      <c r="G267" s="2"/>
    </row>
    <row r="268">
      <c r="E268" s="1"/>
      <c r="F268" s="1"/>
      <c r="G268" s="2"/>
    </row>
    <row r="269">
      <c r="E269" s="1"/>
      <c r="F269" s="1"/>
      <c r="G269" s="2"/>
    </row>
    <row r="270">
      <c r="E270" s="1"/>
      <c r="F270" s="1"/>
      <c r="G270" s="2"/>
    </row>
    <row r="271">
      <c r="E271" s="1"/>
      <c r="F271" s="1"/>
      <c r="G271" s="2"/>
    </row>
    <row r="272">
      <c r="E272" s="1"/>
      <c r="F272" s="1"/>
      <c r="G272" s="2"/>
    </row>
    <row r="273">
      <c r="E273" s="1"/>
      <c r="F273" s="1"/>
      <c r="G273" s="2"/>
    </row>
    <row r="274">
      <c r="E274" s="1"/>
      <c r="F274" s="1"/>
      <c r="G274" s="2"/>
    </row>
    <row r="275">
      <c r="E275" s="1"/>
      <c r="F275" s="1"/>
      <c r="G275" s="2"/>
    </row>
    <row r="276">
      <c r="E276" s="1"/>
      <c r="F276" s="1"/>
      <c r="G276" s="2"/>
    </row>
    <row r="277">
      <c r="E277" s="1"/>
      <c r="F277" s="1"/>
      <c r="G277" s="2"/>
    </row>
    <row r="278">
      <c r="E278" s="1"/>
      <c r="F278" s="1"/>
      <c r="G278" s="2"/>
    </row>
    <row r="279">
      <c r="E279" s="1"/>
      <c r="F279" s="1"/>
      <c r="G279" s="2"/>
    </row>
    <row r="280">
      <c r="E280" s="1"/>
      <c r="F280" s="1"/>
      <c r="G280" s="2"/>
    </row>
    <row r="281">
      <c r="E281" s="1"/>
      <c r="F281" s="1"/>
      <c r="G281" s="2"/>
    </row>
    <row r="282">
      <c r="E282" s="1"/>
      <c r="F282" s="1"/>
      <c r="G282" s="2"/>
    </row>
    <row r="283">
      <c r="E283" s="1"/>
      <c r="F283" s="1"/>
      <c r="G283" s="2"/>
    </row>
    <row r="284">
      <c r="E284" s="1"/>
      <c r="F284" s="1"/>
      <c r="G284" s="2"/>
    </row>
    <row r="285">
      <c r="E285" s="1"/>
      <c r="F285" s="1"/>
      <c r="G285" s="2"/>
    </row>
    <row r="286">
      <c r="E286" s="1"/>
      <c r="F286" s="1"/>
      <c r="G286" s="2"/>
    </row>
    <row r="287">
      <c r="E287" s="1"/>
      <c r="F287" s="1"/>
      <c r="G287" s="2"/>
    </row>
    <row r="288">
      <c r="E288" s="1"/>
      <c r="F288" s="1"/>
      <c r="G288" s="2"/>
    </row>
    <row r="289">
      <c r="E289" s="1"/>
      <c r="F289" s="1"/>
      <c r="G289" s="2"/>
    </row>
    <row r="290">
      <c r="E290" s="1"/>
      <c r="F290" s="1"/>
      <c r="G290" s="2"/>
    </row>
    <row r="291">
      <c r="E291" s="1"/>
      <c r="F291" s="1"/>
      <c r="G291" s="2"/>
    </row>
    <row r="292">
      <c r="E292" s="1"/>
      <c r="F292" s="1"/>
      <c r="G292" s="2"/>
    </row>
    <row r="293">
      <c r="E293" s="1"/>
      <c r="F293" s="1"/>
      <c r="G293" s="2"/>
    </row>
    <row r="294">
      <c r="E294" s="1"/>
      <c r="F294" s="1"/>
      <c r="G294" s="2"/>
    </row>
    <row r="295">
      <c r="E295" s="1"/>
      <c r="F295" s="1"/>
      <c r="G295" s="2"/>
    </row>
    <row r="296">
      <c r="E296" s="1"/>
      <c r="F296" s="1"/>
      <c r="G296" s="2"/>
    </row>
    <row r="297">
      <c r="E297" s="1"/>
      <c r="F297" s="1"/>
      <c r="G297" s="2"/>
    </row>
    <row r="298">
      <c r="E298" s="1"/>
      <c r="F298" s="1"/>
      <c r="G298" s="2"/>
    </row>
    <row r="299">
      <c r="E299" s="1"/>
      <c r="F299" s="1"/>
      <c r="G299" s="2"/>
    </row>
    <row r="300">
      <c r="E300" s="1"/>
      <c r="F300" s="1"/>
      <c r="G300" s="2"/>
    </row>
    <row r="301">
      <c r="E301" s="1"/>
      <c r="F301" s="1"/>
      <c r="G301" s="2"/>
    </row>
    <row r="302">
      <c r="E302" s="1"/>
      <c r="F302" s="1"/>
      <c r="G302" s="2"/>
    </row>
    <row r="303">
      <c r="E303" s="1"/>
      <c r="F303" s="1"/>
      <c r="G303" s="2"/>
    </row>
    <row r="304">
      <c r="E304" s="1"/>
      <c r="F304" s="1"/>
      <c r="G304" s="2"/>
    </row>
    <row r="305">
      <c r="E305" s="1"/>
      <c r="F305" s="1"/>
      <c r="G305" s="2"/>
    </row>
    <row r="306">
      <c r="E306" s="1"/>
      <c r="F306" s="1"/>
      <c r="G306" s="2"/>
    </row>
    <row r="307">
      <c r="E307" s="1"/>
      <c r="F307" s="1"/>
      <c r="G307" s="2"/>
    </row>
    <row r="308">
      <c r="E308" s="1"/>
      <c r="F308" s="1"/>
      <c r="G308" s="2"/>
    </row>
    <row r="309">
      <c r="E309" s="1"/>
      <c r="F309" s="1"/>
      <c r="G309" s="2"/>
    </row>
    <row r="310">
      <c r="E310" s="1"/>
      <c r="F310" s="1"/>
      <c r="G310" s="2"/>
    </row>
    <row r="311">
      <c r="E311" s="1"/>
      <c r="F311" s="1"/>
      <c r="G311" s="2"/>
    </row>
    <row r="312">
      <c r="E312" s="1"/>
      <c r="F312" s="1"/>
      <c r="G312" s="2"/>
    </row>
    <row r="313">
      <c r="E313" s="1"/>
      <c r="F313" s="1"/>
      <c r="G313" s="2"/>
    </row>
    <row r="314">
      <c r="E314" s="1"/>
      <c r="F314" s="1"/>
      <c r="G314" s="2"/>
    </row>
    <row r="315">
      <c r="E315" s="1"/>
      <c r="F315" s="1"/>
      <c r="G315" s="2"/>
    </row>
    <row r="316">
      <c r="E316" s="1"/>
      <c r="F316" s="1"/>
      <c r="G316" s="2"/>
    </row>
    <row r="317">
      <c r="E317" s="1"/>
      <c r="F317" s="1"/>
      <c r="G317" s="2"/>
    </row>
    <row r="318">
      <c r="E318" s="1"/>
      <c r="F318" s="1"/>
      <c r="G318" s="2"/>
    </row>
    <row r="319">
      <c r="E319" s="1"/>
      <c r="F319" s="1"/>
      <c r="G319" s="2"/>
    </row>
    <row r="320">
      <c r="E320" s="1"/>
      <c r="F320" s="1"/>
      <c r="G320" s="2"/>
    </row>
    <row r="321">
      <c r="E321" s="1"/>
      <c r="F321" s="1"/>
      <c r="G321" s="2"/>
    </row>
    <row r="322">
      <c r="E322" s="1"/>
      <c r="F322" s="1"/>
      <c r="G322" s="2"/>
    </row>
    <row r="323">
      <c r="E323" s="1"/>
      <c r="F323" s="1"/>
      <c r="G323" s="2"/>
    </row>
    <row r="324">
      <c r="E324" s="1"/>
      <c r="F324" s="1"/>
      <c r="G324" s="2"/>
    </row>
    <row r="325">
      <c r="E325" s="1"/>
      <c r="F325" s="1"/>
      <c r="G325" s="2"/>
    </row>
    <row r="326">
      <c r="E326" s="1"/>
      <c r="F326" s="1"/>
      <c r="G326" s="2"/>
    </row>
    <row r="327">
      <c r="E327" s="1"/>
      <c r="F327" s="1"/>
      <c r="G327" s="2"/>
    </row>
    <row r="328">
      <c r="E328" s="1"/>
      <c r="F328" s="1"/>
      <c r="G328" s="2"/>
    </row>
    <row r="329">
      <c r="E329" s="1"/>
      <c r="F329" s="1"/>
      <c r="G329" s="2"/>
    </row>
    <row r="330">
      <c r="E330" s="1"/>
      <c r="F330" s="1"/>
      <c r="G330" s="2"/>
    </row>
    <row r="331">
      <c r="E331" s="1"/>
      <c r="F331" s="1"/>
      <c r="G331" s="2"/>
    </row>
    <row r="332">
      <c r="E332" s="1"/>
      <c r="F332" s="1"/>
      <c r="G332" s="2"/>
    </row>
    <row r="333">
      <c r="E333" s="1"/>
      <c r="F333" s="1"/>
      <c r="G333" s="2"/>
    </row>
    <row r="334">
      <c r="E334" s="1"/>
      <c r="F334" s="1"/>
      <c r="G334" s="2"/>
    </row>
    <row r="335">
      <c r="E335" s="1"/>
      <c r="F335" s="1"/>
      <c r="G335" s="2"/>
    </row>
    <row r="336">
      <c r="E336" s="1"/>
      <c r="F336" s="1"/>
      <c r="G336" s="2"/>
    </row>
    <row r="337">
      <c r="E337" s="1"/>
      <c r="F337" s="1"/>
      <c r="G337" s="2"/>
    </row>
    <row r="338">
      <c r="E338" s="1"/>
      <c r="F338" s="1"/>
      <c r="G338" s="2"/>
    </row>
    <row r="339">
      <c r="E339" s="1"/>
      <c r="F339" s="1"/>
      <c r="G339" s="2"/>
    </row>
    <row r="340">
      <c r="E340" s="1"/>
      <c r="F340" s="1"/>
      <c r="G340" s="2"/>
    </row>
    <row r="341">
      <c r="E341" s="1"/>
      <c r="F341" s="1"/>
      <c r="G341" s="2"/>
    </row>
    <row r="342">
      <c r="E342" s="1"/>
      <c r="F342" s="1"/>
      <c r="G342" s="2"/>
    </row>
    <row r="343">
      <c r="E343" s="1"/>
      <c r="F343" s="1"/>
      <c r="G343" s="2"/>
    </row>
    <row r="344">
      <c r="E344" s="1"/>
      <c r="F344" s="1"/>
      <c r="G344" s="2"/>
    </row>
    <row r="345">
      <c r="E345" s="1"/>
      <c r="F345" s="1"/>
      <c r="G345" s="2"/>
    </row>
    <row r="346">
      <c r="E346" s="1"/>
      <c r="F346" s="1"/>
      <c r="G346" s="2"/>
    </row>
    <row r="347">
      <c r="E347" s="1"/>
      <c r="F347" s="1"/>
      <c r="G347" s="2"/>
    </row>
    <row r="348">
      <c r="E348" s="1"/>
      <c r="F348" s="1"/>
      <c r="G348" s="2"/>
    </row>
    <row r="349">
      <c r="E349" s="1"/>
      <c r="F349" s="1"/>
      <c r="G349" s="2"/>
    </row>
    <row r="350">
      <c r="E350" s="1"/>
      <c r="F350" s="1"/>
      <c r="G350" s="2"/>
    </row>
    <row r="351">
      <c r="E351" s="1"/>
      <c r="F351" s="1"/>
      <c r="G351" s="2"/>
    </row>
    <row r="352">
      <c r="E352" s="1"/>
      <c r="F352" s="1"/>
      <c r="G352" s="2"/>
    </row>
    <row r="353">
      <c r="E353" s="1"/>
      <c r="F353" s="1"/>
      <c r="G353" s="2"/>
    </row>
    <row r="354">
      <c r="E354" s="1"/>
      <c r="F354" s="1"/>
      <c r="G354" s="2"/>
    </row>
    <row r="355">
      <c r="E355" s="1"/>
      <c r="F355" s="1"/>
      <c r="G355" s="2"/>
    </row>
    <row r="356">
      <c r="E356" s="1"/>
      <c r="F356" s="1"/>
      <c r="G356" s="2"/>
    </row>
    <row r="357">
      <c r="E357" s="1"/>
      <c r="F357" s="1"/>
      <c r="G357" s="2"/>
    </row>
    <row r="358">
      <c r="E358" s="1"/>
      <c r="F358" s="1"/>
      <c r="G358" s="2"/>
    </row>
    <row r="359">
      <c r="E359" s="1"/>
      <c r="F359" s="1"/>
      <c r="G359" s="2"/>
    </row>
    <row r="360">
      <c r="E360" s="1"/>
      <c r="F360" s="1"/>
      <c r="G360" s="2"/>
    </row>
    <row r="361">
      <c r="E361" s="1"/>
      <c r="F361" s="1"/>
      <c r="G361" s="2"/>
    </row>
    <row r="362">
      <c r="E362" s="1"/>
      <c r="F362" s="1"/>
      <c r="G362" s="2"/>
    </row>
    <row r="363">
      <c r="E363" s="1"/>
      <c r="F363" s="1"/>
      <c r="G363" s="2"/>
    </row>
    <row r="364">
      <c r="E364" s="1"/>
      <c r="F364" s="1"/>
      <c r="G364" s="2"/>
    </row>
    <row r="365">
      <c r="E365" s="1"/>
      <c r="F365" s="1"/>
      <c r="G365" s="2"/>
    </row>
    <row r="366">
      <c r="E366" s="1"/>
      <c r="F366" s="1"/>
      <c r="G366" s="2"/>
    </row>
    <row r="367">
      <c r="E367" s="1"/>
      <c r="F367" s="1"/>
      <c r="G367" s="2"/>
    </row>
    <row r="368">
      <c r="E368" s="1"/>
      <c r="F368" s="1"/>
      <c r="G368" s="2"/>
    </row>
    <row r="369">
      <c r="E369" s="1"/>
      <c r="F369" s="1"/>
      <c r="G369" s="2"/>
    </row>
    <row r="370">
      <c r="E370" s="1"/>
      <c r="F370" s="1"/>
      <c r="G370" s="2"/>
    </row>
    <row r="371">
      <c r="E371" s="1"/>
      <c r="F371" s="1"/>
      <c r="G371" s="2"/>
    </row>
    <row r="372">
      <c r="E372" s="1"/>
      <c r="F372" s="1"/>
      <c r="G372" s="2"/>
    </row>
    <row r="373">
      <c r="E373" s="1"/>
      <c r="F373" s="1"/>
      <c r="G373" s="2"/>
    </row>
    <row r="374">
      <c r="E374" s="1"/>
      <c r="F374" s="1"/>
      <c r="G374" s="2"/>
    </row>
    <row r="375">
      <c r="E375" s="1"/>
      <c r="F375" s="1"/>
      <c r="G375" s="2"/>
    </row>
    <row r="376">
      <c r="E376" s="1"/>
      <c r="F376" s="1"/>
      <c r="G376" s="2"/>
    </row>
    <row r="377">
      <c r="E377" s="1"/>
      <c r="F377" s="1"/>
      <c r="G377" s="2"/>
    </row>
    <row r="378">
      <c r="E378" s="1"/>
      <c r="F378" s="1"/>
      <c r="G378" s="2"/>
    </row>
    <row r="379">
      <c r="E379" s="1"/>
      <c r="F379" s="1"/>
      <c r="G379" s="2"/>
    </row>
    <row r="380">
      <c r="E380" s="1"/>
      <c r="F380" s="1"/>
      <c r="G380" s="2"/>
    </row>
    <row r="381">
      <c r="E381" s="1"/>
      <c r="F381" s="1"/>
      <c r="G381" s="2"/>
    </row>
    <row r="382">
      <c r="E382" s="1"/>
      <c r="F382" s="1"/>
      <c r="G382" s="2"/>
    </row>
    <row r="383">
      <c r="E383" s="1"/>
      <c r="F383" s="1"/>
      <c r="G383" s="2"/>
    </row>
    <row r="384">
      <c r="E384" s="1"/>
      <c r="F384" s="1"/>
      <c r="G384" s="2"/>
    </row>
    <row r="385">
      <c r="E385" s="1"/>
      <c r="F385" s="1"/>
      <c r="G385" s="2"/>
    </row>
    <row r="386">
      <c r="E386" s="1"/>
      <c r="F386" s="1"/>
      <c r="G386" s="2"/>
    </row>
    <row r="387">
      <c r="E387" s="1"/>
      <c r="F387" s="1"/>
      <c r="G387" s="2"/>
    </row>
    <row r="388">
      <c r="E388" s="1"/>
      <c r="F388" s="1"/>
      <c r="G388" s="2"/>
    </row>
    <row r="389">
      <c r="E389" s="1"/>
      <c r="F389" s="1"/>
      <c r="G389" s="2"/>
    </row>
    <row r="390">
      <c r="E390" s="1"/>
      <c r="F390" s="1"/>
      <c r="G390" s="2"/>
    </row>
    <row r="391">
      <c r="E391" s="1"/>
      <c r="F391" s="1"/>
      <c r="G391" s="2"/>
    </row>
    <row r="392">
      <c r="E392" s="1"/>
      <c r="F392" s="1"/>
      <c r="G392" s="2"/>
    </row>
    <row r="393">
      <c r="E393" s="1"/>
      <c r="F393" s="1"/>
      <c r="G393" s="2"/>
    </row>
    <row r="394">
      <c r="E394" s="1"/>
      <c r="F394" s="1"/>
      <c r="G394" s="2"/>
    </row>
    <row r="395">
      <c r="E395" s="1"/>
      <c r="F395" s="1"/>
      <c r="G395" s="2"/>
    </row>
    <row r="396">
      <c r="E396" s="1"/>
      <c r="F396" s="1"/>
      <c r="G396" s="2"/>
    </row>
    <row r="397">
      <c r="E397" s="1"/>
      <c r="F397" s="1"/>
      <c r="G397" s="2"/>
    </row>
    <row r="398">
      <c r="E398" s="1"/>
      <c r="F398" s="1"/>
      <c r="G398" s="2"/>
    </row>
    <row r="399">
      <c r="E399" s="1"/>
      <c r="F399" s="1"/>
      <c r="G399" s="2"/>
    </row>
    <row r="400">
      <c r="E400" s="1"/>
      <c r="F400" s="1"/>
      <c r="G400" s="2"/>
    </row>
    <row r="401">
      <c r="E401" s="1"/>
      <c r="F401" s="1"/>
      <c r="G401" s="2"/>
    </row>
    <row r="402">
      <c r="E402" s="1"/>
      <c r="F402" s="1"/>
      <c r="G402" s="2"/>
    </row>
    <row r="403">
      <c r="E403" s="1"/>
      <c r="F403" s="1"/>
      <c r="G403" s="2"/>
    </row>
    <row r="404">
      <c r="E404" s="1"/>
      <c r="F404" s="1"/>
      <c r="G404" s="2"/>
    </row>
    <row r="405">
      <c r="E405" s="1"/>
      <c r="F405" s="1"/>
      <c r="G405" s="2"/>
    </row>
    <row r="406">
      <c r="E406" s="1"/>
      <c r="F406" s="1"/>
      <c r="G406" s="2"/>
    </row>
    <row r="407">
      <c r="E407" s="1"/>
      <c r="F407" s="1"/>
      <c r="G407" s="2"/>
    </row>
    <row r="408">
      <c r="E408" s="1"/>
      <c r="F408" s="1"/>
      <c r="G408" s="2"/>
    </row>
    <row r="409">
      <c r="E409" s="1"/>
      <c r="F409" s="1"/>
      <c r="G409" s="2"/>
    </row>
    <row r="410">
      <c r="E410" s="1"/>
      <c r="F410" s="1"/>
      <c r="G410" s="2"/>
    </row>
    <row r="411">
      <c r="E411" s="1"/>
      <c r="F411" s="1"/>
      <c r="G411" s="2"/>
    </row>
    <row r="412">
      <c r="E412" s="1"/>
      <c r="F412" s="1"/>
      <c r="G412" s="2"/>
    </row>
    <row r="413">
      <c r="E413" s="1"/>
      <c r="F413" s="1"/>
      <c r="G413" s="2"/>
    </row>
    <row r="414">
      <c r="E414" s="1"/>
      <c r="F414" s="1"/>
      <c r="G414" s="2"/>
    </row>
    <row r="415">
      <c r="E415" s="1"/>
      <c r="F415" s="1"/>
      <c r="G415" s="2"/>
    </row>
    <row r="416">
      <c r="E416" s="1"/>
      <c r="F416" s="1"/>
      <c r="G416" s="2"/>
    </row>
    <row r="417">
      <c r="E417" s="1"/>
      <c r="F417" s="1"/>
      <c r="G417" s="2"/>
    </row>
    <row r="418">
      <c r="E418" s="1"/>
      <c r="F418" s="1"/>
      <c r="G418" s="2"/>
    </row>
    <row r="419">
      <c r="E419" s="1"/>
      <c r="F419" s="1"/>
      <c r="G419" s="2"/>
    </row>
    <row r="420">
      <c r="E420" s="1"/>
      <c r="F420" s="1"/>
      <c r="G420" s="2"/>
    </row>
    <row r="421">
      <c r="E421" s="1"/>
      <c r="F421" s="1"/>
      <c r="G421" s="2"/>
    </row>
    <row r="422">
      <c r="E422" s="1"/>
      <c r="F422" s="1"/>
      <c r="G422" s="2"/>
    </row>
    <row r="423">
      <c r="E423" s="1"/>
      <c r="F423" s="1"/>
      <c r="G423" s="2"/>
    </row>
    <row r="424">
      <c r="E424" s="1"/>
      <c r="F424" s="1"/>
      <c r="G424" s="2"/>
    </row>
    <row r="425">
      <c r="E425" s="1"/>
      <c r="F425" s="1"/>
      <c r="G425" s="2"/>
    </row>
    <row r="426">
      <c r="E426" s="1"/>
      <c r="F426" s="1"/>
      <c r="G426" s="2"/>
    </row>
    <row r="427">
      <c r="E427" s="1"/>
      <c r="F427" s="1"/>
      <c r="G427" s="2"/>
    </row>
    <row r="428">
      <c r="E428" s="1"/>
      <c r="F428" s="1"/>
      <c r="G428" s="2"/>
    </row>
    <row r="429">
      <c r="E429" s="1"/>
      <c r="F429" s="1"/>
      <c r="G429" s="2"/>
    </row>
    <row r="430">
      <c r="E430" s="1"/>
      <c r="F430" s="1"/>
      <c r="G430" s="2"/>
    </row>
    <row r="431">
      <c r="E431" s="1"/>
      <c r="F431" s="1"/>
      <c r="G431" s="2"/>
    </row>
    <row r="432">
      <c r="E432" s="1"/>
      <c r="F432" s="1"/>
      <c r="G432" s="2"/>
    </row>
    <row r="433">
      <c r="E433" s="1"/>
      <c r="F433" s="1"/>
      <c r="G433" s="2"/>
    </row>
    <row r="434">
      <c r="E434" s="1"/>
      <c r="F434" s="1"/>
      <c r="G434" s="2"/>
    </row>
    <row r="435">
      <c r="E435" s="1"/>
      <c r="F435" s="1"/>
      <c r="G435" s="2"/>
    </row>
    <row r="436">
      <c r="E436" s="1"/>
      <c r="F436" s="1"/>
      <c r="G436" s="2"/>
    </row>
    <row r="437">
      <c r="E437" s="1"/>
      <c r="F437" s="1"/>
      <c r="G437" s="2"/>
    </row>
    <row r="438">
      <c r="E438" s="1"/>
      <c r="F438" s="1"/>
      <c r="G438" s="2"/>
    </row>
    <row r="439">
      <c r="E439" s="1"/>
      <c r="F439" s="1"/>
      <c r="G439" s="2"/>
    </row>
    <row r="440">
      <c r="E440" s="1"/>
      <c r="F440" s="1"/>
      <c r="G440" s="2"/>
    </row>
    <row r="441">
      <c r="E441" s="1"/>
      <c r="F441" s="1"/>
      <c r="G441" s="2"/>
    </row>
    <row r="442">
      <c r="E442" s="1"/>
      <c r="F442" s="1"/>
      <c r="G442" s="2"/>
    </row>
    <row r="443">
      <c r="E443" s="1"/>
      <c r="F443" s="1"/>
      <c r="G443" s="2"/>
    </row>
    <row r="444">
      <c r="E444" s="1"/>
      <c r="F444" s="1"/>
      <c r="G444" s="2"/>
    </row>
    <row r="445">
      <c r="E445" s="1"/>
      <c r="F445" s="1"/>
      <c r="G445" s="2"/>
    </row>
    <row r="446">
      <c r="E446" s="1"/>
      <c r="F446" s="1"/>
      <c r="G446" s="2"/>
    </row>
    <row r="447">
      <c r="E447" s="1"/>
      <c r="F447" s="1"/>
      <c r="G447" s="2"/>
    </row>
    <row r="448">
      <c r="E448" s="1"/>
      <c r="F448" s="1"/>
      <c r="G448" s="2"/>
    </row>
    <row r="449">
      <c r="E449" s="1"/>
      <c r="F449" s="1"/>
      <c r="G449" s="2"/>
    </row>
    <row r="450">
      <c r="E450" s="1"/>
      <c r="F450" s="1"/>
      <c r="G450" s="2"/>
    </row>
    <row r="451">
      <c r="E451" s="1"/>
      <c r="F451" s="1"/>
      <c r="G451" s="2"/>
    </row>
    <row r="452">
      <c r="E452" s="1"/>
      <c r="F452" s="1"/>
      <c r="G452" s="2"/>
    </row>
    <row r="453">
      <c r="E453" s="1"/>
      <c r="F453" s="1"/>
      <c r="G453" s="2"/>
    </row>
    <row r="454">
      <c r="E454" s="1"/>
      <c r="F454" s="1"/>
      <c r="G454" s="2"/>
    </row>
    <row r="455">
      <c r="E455" s="1"/>
      <c r="F455" s="1"/>
      <c r="G455" s="2"/>
    </row>
    <row r="456">
      <c r="E456" s="1"/>
      <c r="F456" s="1"/>
      <c r="G456" s="2"/>
    </row>
    <row r="457">
      <c r="E457" s="1"/>
      <c r="F457" s="1"/>
      <c r="G457" s="2"/>
    </row>
    <row r="458">
      <c r="E458" s="1"/>
      <c r="F458" s="1"/>
      <c r="G458" s="2"/>
    </row>
    <row r="459">
      <c r="E459" s="1"/>
      <c r="F459" s="1"/>
      <c r="G459" s="2"/>
    </row>
    <row r="460">
      <c r="E460" s="1"/>
      <c r="F460" s="1"/>
      <c r="G460" s="2"/>
    </row>
    <row r="461">
      <c r="E461" s="1"/>
      <c r="F461" s="1"/>
      <c r="G461" s="2"/>
    </row>
    <row r="462">
      <c r="E462" s="1"/>
      <c r="F462" s="1"/>
      <c r="G462" s="2"/>
    </row>
    <row r="463">
      <c r="E463" s="1"/>
      <c r="F463" s="1"/>
      <c r="G463" s="2"/>
    </row>
    <row r="464">
      <c r="E464" s="1"/>
      <c r="F464" s="1"/>
      <c r="G464" s="2"/>
    </row>
    <row r="465">
      <c r="E465" s="1"/>
      <c r="F465" s="1"/>
      <c r="G465" s="2"/>
    </row>
    <row r="466">
      <c r="E466" s="1"/>
      <c r="F466" s="1"/>
      <c r="G466" s="2"/>
    </row>
    <row r="467">
      <c r="E467" s="1"/>
      <c r="F467" s="1"/>
      <c r="G467" s="2"/>
    </row>
    <row r="468">
      <c r="E468" s="1"/>
      <c r="F468" s="1"/>
      <c r="G468" s="2"/>
    </row>
    <row r="469">
      <c r="E469" s="1"/>
      <c r="F469" s="1"/>
      <c r="G469" s="2"/>
    </row>
    <row r="470">
      <c r="E470" s="1"/>
      <c r="F470" s="1"/>
      <c r="G470" s="2"/>
    </row>
    <row r="471">
      <c r="E471" s="1"/>
      <c r="F471" s="1"/>
      <c r="G471" s="2"/>
    </row>
    <row r="472">
      <c r="E472" s="1"/>
      <c r="F472" s="1"/>
      <c r="G472" s="2"/>
    </row>
    <row r="473">
      <c r="E473" s="1"/>
      <c r="F473" s="1"/>
      <c r="G473" s="2"/>
    </row>
    <row r="474">
      <c r="E474" s="1"/>
      <c r="F474" s="1"/>
      <c r="G474" s="2"/>
    </row>
    <row r="475">
      <c r="E475" s="1"/>
      <c r="F475" s="1"/>
      <c r="G475" s="2"/>
    </row>
    <row r="476">
      <c r="E476" s="1"/>
      <c r="F476" s="1"/>
      <c r="G476" s="2"/>
    </row>
    <row r="477">
      <c r="E477" s="1"/>
      <c r="F477" s="1"/>
      <c r="G477" s="2"/>
    </row>
    <row r="478">
      <c r="E478" s="1"/>
      <c r="F478" s="1"/>
      <c r="G478" s="2"/>
    </row>
    <row r="479">
      <c r="E479" s="1"/>
      <c r="F479" s="1"/>
      <c r="G479" s="2"/>
    </row>
    <row r="480">
      <c r="E480" s="1"/>
      <c r="F480" s="1"/>
      <c r="G480" s="2"/>
    </row>
    <row r="481">
      <c r="E481" s="1"/>
      <c r="F481" s="1"/>
      <c r="G481" s="2"/>
    </row>
    <row r="482">
      <c r="E482" s="1"/>
      <c r="F482" s="1"/>
      <c r="G482" s="2"/>
    </row>
    <row r="483">
      <c r="E483" s="1"/>
      <c r="F483" s="1"/>
      <c r="G483" s="2"/>
    </row>
    <row r="484">
      <c r="E484" s="1"/>
      <c r="F484" s="1"/>
      <c r="G484" s="2"/>
    </row>
    <row r="485">
      <c r="E485" s="1"/>
      <c r="F485" s="1"/>
      <c r="G485" s="2"/>
    </row>
    <row r="486">
      <c r="E486" s="1"/>
      <c r="F486" s="1"/>
      <c r="G486" s="2"/>
    </row>
    <row r="487">
      <c r="E487" s="1"/>
      <c r="F487" s="1"/>
      <c r="G487" s="2"/>
    </row>
    <row r="488">
      <c r="E488" s="1"/>
      <c r="F488" s="1"/>
      <c r="G488" s="2"/>
    </row>
    <row r="489">
      <c r="E489" s="1"/>
      <c r="F489" s="1"/>
      <c r="G489" s="2"/>
    </row>
    <row r="490">
      <c r="E490" s="1"/>
      <c r="F490" s="1"/>
      <c r="G490" s="2"/>
    </row>
    <row r="491">
      <c r="E491" s="1"/>
      <c r="F491" s="1"/>
      <c r="G491" s="2"/>
    </row>
    <row r="492">
      <c r="E492" s="1"/>
      <c r="F492" s="1"/>
      <c r="G492" s="2"/>
    </row>
    <row r="493">
      <c r="E493" s="1"/>
      <c r="F493" s="1"/>
      <c r="G493" s="2"/>
    </row>
    <row r="494">
      <c r="E494" s="1"/>
      <c r="F494" s="1"/>
      <c r="G494" s="2"/>
    </row>
    <row r="495">
      <c r="E495" s="1"/>
      <c r="F495" s="1"/>
      <c r="G495" s="2"/>
    </row>
    <row r="496">
      <c r="E496" s="1"/>
      <c r="F496" s="1"/>
      <c r="G496" s="2"/>
    </row>
    <row r="497">
      <c r="E497" s="1"/>
      <c r="F497" s="1"/>
      <c r="G497" s="2"/>
    </row>
    <row r="498">
      <c r="E498" s="1"/>
      <c r="F498" s="1"/>
      <c r="G498" s="2"/>
    </row>
    <row r="499">
      <c r="E499" s="1"/>
      <c r="F499" s="1"/>
      <c r="G499" s="2"/>
    </row>
    <row r="500">
      <c r="E500" s="1"/>
      <c r="F500" s="1"/>
      <c r="G500" s="2"/>
    </row>
    <row r="501">
      <c r="E501" s="1"/>
      <c r="F501" s="1"/>
      <c r="G501" s="2"/>
    </row>
    <row r="502">
      <c r="E502" s="1"/>
      <c r="F502" s="1"/>
      <c r="G502" s="2"/>
    </row>
    <row r="503">
      <c r="E503" s="1"/>
      <c r="F503" s="1"/>
      <c r="G503" s="2"/>
    </row>
    <row r="504">
      <c r="E504" s="1"/>
      <c r="F504" s="1"/>
      <c r="G504" s="2"/>
    </row>
    <row r="505">
      <c r="E505" s="1"/>
      <c r="F505" s="1"/>
      <c r="G505" s="2"/>
    </row>
    <row r="506">
      <c r="E506" s="1"/>
      <c r="F506" s="1"/>
      <c r="G506" s="2"/>
    </row>
    <row r="507">
      <c r="E507" s="1"/>
      <c r="F507" s="1"/>
      <c r="G507" s="2"/>
    </row>
    <row r="508">
      <c r="E508" s="1"/>
      <c r="F508" s="1"/>
      <c r="G508" s="2"/>
    </row>
    <row r="509">
      <c r="E509" s="1"/>
      <c r="F509" s="1"/>
      <c r="G509" s="2"/>
    </row>
    <row r="510">
      <c r="E510" s="1"/>
      <c r="F510" s="1"/>
      <c r="G510" s="2"/>
    </row>
    <row r="511">
      <c r="E511" s="1"/>
      <c r="F511" s="1"/>
      <c r="G511" s="2"/>
    </row>
    <row r="512">
      <c r="E512" s="1"/>
      <c r="F512" s="1"/>
      <c r="G512" s="2"/>
    </row>
    <row r="513">
      <c r="E513" s="1"/>
      <c r="F513" s="1"/>
      <c r="G513" s="2"/>
    </row>
    <row r="514">
      <c r="E514" s="1"/>
      <c r="F514" s="1"/>
      <c r="G514" s="2"/>
    </row>
    <row r="515">
      <c r="E515" s="1"/>
      <c r="F515" s="1"/>
      <c r="G515" s="2"/>
    </row>
    <row r="516">
      <c r="E516" s="1"/>
      <c r="F516" s="1"/>
      <c r="G516" s="2"/>
    </row>
    <row r="517">
      <c r="E517" s="1"/>
      <c r="F517" s="1"/>
      <c r="G517" s="2"/>
    </row>
    <row r="518">
      <c r="E518" s="1"/>
      <c r="F518" s="1"/>
      <c r="G518" s="2"/>
    </row>
    <row r="519">
      <c r="E519" s="1"/>
      <c r="F519" s="1"/>
      <c r="G519" s="2"/>
    </row>
    <row r="520">
      <c r="E520" s="1"/>
      <c r="F520" s="1"/>
      <c r="G520" s="2"/>
    </row>
    <row r="521">
      <c r="E521" s="1"/>
      <c r="F521" s="1"/>
      <c r="G521" s="2"/>
    </row>
    <row r="522">
      <c r="E522" s="1"/>
      <c r="F522" s="1"/>
      <c r="G522" s="2"/>
    </row>
    <row r="523">
      <c r="E523" s="1"/>
      <c r="F523" s="1"/>
      <c r="G523" s="2"/>
    </row>
    <row r="524">
      <c r="E524" s="1"/>
      <c r="F524" s="1"/>
      <c r="G524" s="2"/>
    </row>
    <row r="525">
      <c r="E525" s="1"/>
      <c r="F525" s="1"/>
      <c r="G525" s="2"/>
    </row>
    <row r="526">
      <c r="E526" s="1"/>
      <c r="F526" s="1"/>
      <c r="G526" s="2"/>
    </row>
    <row r="527">
      <c r="E527" s="1"/>
      <c r="F527" s="1"/>
      <c r="G527" s="2"/>
    </row>
    <row r="528">
      <c r="E528" s="1"/>
      <c r="F528" s="1"/>
      <c r="G528" s="2"/>
    </row>
    <row r="529">
      <c r="E529" s="1"/>
      <c r="F529" s="1"/>
      <c r="G529" s="2"/>
    </row>
    <row r="530">
      <c r="E530" s="1"/>
      <c r="F530" s="1"/>
      <c r="G530" s="2"/>
    </row>
    <row r="531">
      <c r="E531" s="1"/>
      <c r="F531" s="1"/>
      <c r="G531" s="2"/>
    </row>
    <row r="532">
      <c r="E532" s="1"/>
      <c r="F532" s="1"/>
      <c r="G532" s="2"/>
    </row>
    <row r="533">
      <c r="E533" s="1"/>
      <c r="F533" s="1"/>
      <c r="G533" s="2"/>
    </row>
    <row r="534">
      <c r="E534" s="1"/>
      <c r="F534" s="1"/>
      <c r="G534" s="2"/>
    </row>
    <row r="535">
      <c r="E535" s="1"/>
      <c r="F535" s="1"/>
      <c r="G535" s="2"/>
    </row>
    <row r="536">
      <c r="E536" s="1"/>
      <c r="F536" s="1"/>
      <c r="G536" s="2"/>
    </row>
    <row r="537">
      <c r="E537" s="1"/>
      <c r="F537" s="1"/>
      <c r="G537" s="2"/>
    </row>
    <row r="538">
      <c r="E538" s="1"/>
      <c r="F538" s="1"/>
      <c r="G538" s="2"/>
    </row>
    <row r="539">
      <c r="E539" s="1"/>
      <c r="F539" s="1"/>
      <c r="G539" s="2"/>
    </row>
    <row r="540">
      <c r="E540" s="1"/>
      <c r="F540" s="1"/>
      <c r="G540" s="2"/>
    </row>
    <row r="541">
      <c r="E541" s="1"/>
      <c r="F541" s="1"/>
      <c r="G541" s="2"/>
    </row>
    <row r="542">
      <c r="E542" s="1"/>
      <c r="F542" s="1"/>
      <c r="G542" s="2"/>
    </row>
    <row r="543">
      <c r="E543" s="1"/>
      <c r="F543" s="1"/>
      <c r="G543" s="2"/>
    </row>
    <row r="544">
      <c r="E544" s="1"/>
      <c r="F544" s="1"/>
      <c r="G544" s="2"/>
    </row>
    <row r="545">
      <c r="E545" s="1"/>
      <c r="F545" s="1"/>
      <c r="G545" s="2"/>
    </row>
    <row r="546">
      <c r="E546" s="1"/>
      <c r="F546" s="1"/>
      <c r="G546" s="2"/>
    </row>
    <row r="547">
      <c r="E547" s="1"/>
      <c r="F547" s="1"/>
      <c r="G547" s="2"/>
    </row>
    <row r="548">
      <c r="E548" s="1"/>
      <c r="F548" s="1"/>
      <c r="G548" s="2"/>
    </row>
    <row r="549">
      <c r="E549" s="1"/>
      <c r="F549" s="1"/>
      <c r="G549" s="2"/>
    </row>
    <row r="550">
      <c r="E550" s="1"/>
      <c r="F550" s="1"/>
      <c r="G550" s="2"/>
    </row>
    <row r="551">
      <c r="E551" s="1"/>
      <c r="F551" s="1"/>
      <c r="G551" s="2"/>
    </row>
    <row r="552">
      <c r="E552" s="1"/>
      <c r="F552" s="1"/>
      <c r="G552" s="2"/>
    </row>
    <row r="553">
      <c r="E553" s="1"/>
      <c r="F553" s="1"/>
      <c r="G553" s="2"/>
    </row>
    <row r="554">
      <c r="E554" s="1"/>
      <c r="F554" s="1"/>
      <c r="G554" s="2"/>
    </row>
    <row r="555">
      <c r="E555" s="1"/>
      <c r="F555" s="1"/>
      <c r="G555" s="2"/>
    </row>
    <row r="556">
      <c r="E556" s="1"/>
      <c r="F556" s="1"/>
      <c r="G556" s="2"/>
    </row>
    <row r="557">
      <c r="E557" s="1"/>
      <c r="F557" s="1"/>
      <c r="G557" s="2"/>
    </row>
    <row r="558">
      <c r="E558" s="1"/>
      <c r="F558" s="1"/>
      <c r="G558" s="2"/>
    </row>
    <row r="559">
      <c r="E559" s="1"/>
      <c r="F559" s="1"/>
      <c r="G559" s="2"/>
    </row>
    <row r="560">
      <c r="E560" s="1"/>
      <c r="F560" s="1"/>
      <c r="G560" s="2"/>
    </row>
    <row r="561">
      <c r="E561" s="1"/>
      <c r="F561" s="1"/>
      <c r="G561" s="2"/>
    </row>
    <row r="562">
      <c r="E562" s="1"/>
      <c r="F562" s="1"/>
      <c r="G562" s="2"/>
    </row>
    <row r="563">
      <c r="E563" s="1"/>
      <c r="F563" s="1"/>
      <c r="G563" s="2"/>
    </row>
    <row r="564">
      <c r="E564" s="1"/>
      <c r="F564" s="1"/>
      <c r="G564" s="2"/>
    </row>
    <row r="565">
      <c r="E565" s="1"/>
      <c r="F565" s="1"/>
      <c r="G565" s="2"/>
    </row>
    <row r="566">
      <c r="E566" s="1"/>
      <c r="F566" s="1"/>
      <c r="G566" s="2"/>
    </row>
    <row r="567">
      <c r="E567" s="1"/>
      <c r="F567" s="1"/>
      <c r="G567" s="2"/>
    </row>
    <row r="568">
      <c r="E568" s="1"/>
      <c r="F568" s="1"/>
      <c r="G568" s="2"/>
    </row>
    <row r="569">
      <c r="E569" s="1"/>
      <c r="F569" s="1"/>
      <c r="G569" s="2"/>
    </row>
    <row r="570">
      <c r="E570" s="1"/>
      <c r="F570" s="1"/>
      <c r="G570" s="2"/>
    </row>
    <row r="571">
      <c r="E571" s="1"/>
      <c r="F571" s="1"/>
      <c r="G571" s="2"/>
    </row>
    <row r="572">
      <c r="E572" s="1"/>
      <c r="F572" s="1"/>
      <c r="G572" s="2"/>
    </row>
    <row r="573">
      <c r="E573" s="1"/>
      <c r="F573" s="1"/>
      <c r="G573" s="2"/>
    </row>
    <row r="574">
      <c r="E574" s="1"/>
      <c r="F574" s="1"/>
      <c r="G574" s="2"/>
    </row>
    <row r="575">
      <c r="E575" s="1"/>
      <c r="F575" s="1"/>
      <c r="G575" s="2"/>
    </row>
    <row r="576">
      <c r="E576" s="1"/>
      <c r="F576" s="1"/>
      <c r="G576" s="2"/>
    </row>
    <row r="577">
      <c r="E577" s="1"/>
      <c r="F577" s="1"/>
      <c r="G577" s="2"/>
    </row>
    <row r="578">
      <c r="E578" s="1"/>
      <c r="F578" s="1"/>
      <c r="G578" s="2"/>
    </row>
    <row r="579">
      <c r="E579" s="1"/>
      <c r="F579" s="1"/>
      <c r="G579" s="2"/>
    </row>
    <row r="580">
      <c r="E580" s="1"/>
      <c r="F580" s="1"/>
      <c r="G580" s="2"/>
    </row>
    <row r="581">
      <c r="E581" s="1"/>
      <c r="F581" s="1"/>
      <c r="G581" s="2"/>
    </row>
    <row r="582">
      <c r="E582" s="1"/>
      <c r="F582" s="1"/>
      <c r="G582" s="2"/>
    </row>
    <row r="583">
      <c r="E583" s="1"/>
      <c r="F583" s="1"/>
      <c r="G583" s="2"/>
    </row>
    <row r="584">
      <c r="E584" s="1"/>
      <c r="F584" s="1"/>
      <c r="G584" s="2"/>
    </row>
    <row r="585">
      <c r="E585" s="1"/>
      <c r="F585" s="1"/>
      <c r="G585" s="2"/>
    </row>
    <row r="586">
      <c r="E586" s="1"/>
      <c r="F586" s="1"/>
      <c r="G586" s="2"/>
    </row>
    <row r="587">
      <c r="E587" s="1"/>
      <c r="F587" s="1"/>
      <c r="G587" s="2"/>
    </row>
    <row r="588">
      <c r="E588" s="1"/>
      <c r="F588" s="1"/>
      <c r="G588" s="2"/>
    </row>
    <row r="589">
      <c r="E589" s="1"/>
      <c r="F589" s="1"/>
      <c r="G589" s="2"/>
    </row>
    <row r="590">
      <c r="E590" s="1"/>
      <c r="F590" s="1"/>
      <c r="G590" s="2"/>
    </row>
    <row r="591">
      <c r="E591" s="1"/>
      <c r="F591" s="1"/>
      <c r="G591" s="2"/>
    </row>
    <row r="592">
      <c r="E592" s="1"/>
      <c r="F592" s="1"/>
      <c r="G592" s="2"/>
    </row>
    <row r="593">
      <c r="E593" s="1"/>
      <c r="F593" s="1"/>
      <c r="G593" s="2"/>
    </row>
    <row r="594">
      <c r="E594" s="1"/>
      <c r="F594" s="1"/>
      <c r="G594" s="2"/>
    </row>
    <row r="595">
      <c r="E595" s="1"/>
      <c r="F595" s="1"/>
      <c r="G595" s="2"/>
    </row>
    <row r="596">
      <c r="E596" s="1"/>
      <c r="F596" s="1"/>
      <c r="G596" s="2"/>
    </row>
    <row r="597">
      <c r="E597" s="1"/>
      <c r="F597" s="1"/>
      <c r="G597" s="2"/>
    </row>
    <row r="598">
      <c r="E598" s="1"/>
      <c r="F598" s="1"/>
      <c r="G598" s="2"/>
    </row>
    <row r="599">
      <c r="E599" s="1"/>
      <c r="F599" s="1"/>
      <c r="G599" s="2"/>
    </row>
    <row r="600">
      <c r="E600" s="1"/>
      <c r="F600" s="1"/>
      <c r="G600" s="2"/>
    </row>
    <row r="601">
      <c r="E601" s="1"/>
      <c r="F601" s="1"/>
      <c r="G601" s="2"/>
    </row>
    <row r="602">
      <c r="E602" s="1"/>
      <c r="F602" s="1"/>
      <c r="G602" s="2"/>
    </row>
    <row r="603">
      <c r="E603" s="1"/>
      <c r="F603" s="1"/>
      <c r="G603" s="2"/>
    </row>
    <row r="604">
      <c r="E604" s="1"/>
      <c r="F604" s="1"/>
      <c r="G604" s="2"/>
    </row>
    <row r="605">
      <c r="E605" s="1"/>
      <c r="F605" s="1"/>
      <c r="G605" s="2"/>
    </row>
    <row r="606">
      <c r="E606" s="1"/>
      <c r="F606" s="1"/>
      <c r="G606" s="2"/>
    </row>
    <row r="607">
      <c r="E607" s="1"/>
      <c r="F607" s="1"/>
      <c r="G607" s="2"/>
    </row>
    <row r="608">
      <c r="E608" s="1"/>
      <c r="F608" s="1"/>
      <c r="G608" s="2"/>
    </row>
    <row r="609">
      <c r="E609" s="1"/>
      <c r="F609" s="1"/>
      <c r="G609" s="2"/>
    </row>
    <row r="610">
      <c r="E610" s="1"/>
      <c r="F610" s="1"/>
      <c r="G610" s="2"/>
    </row>
    <row r="611">
      <c r="E611" s="1"/>
      <c r="F611" s="1"/>
      <c r="G611" s="2"/>
    </row>
    <row r="612">
      <c r="E612" s="1"/>
      <c r="F612" s="1"/>
      <c r="G612" s="2"/>
    </row>
    <row r="613">
      <c r="E613" s="1"/>
      <c r="F613" s="1"/>
      <c r="G613" s="2"/>
    </row>
    <row r="614">
      <c r="E614" s="1"/>
      <c r="F614" s="1"/>
      <c r="G614" s="2"/>
    </row>
    <row r="615">
      <c r="E615" s="1"/>
      <c r="F615" s="1"/>
      <c r="G615" s="2"/>
    </row>
    <row r="616">
      <c r="E616" s="1"/>
      <c r="F616" s="1"/>
      <c r="G616" s="2"/>
    </row>
    <row r="617">
      <c r="E617" s="1"/>
      <c r="F617" s="1"/>
      <c r="G617" s="2"/>
    </row>
    <row r="618">
      <c r="E618" s="1"/>
      <c r="F618" s="1"/>
      <c r="G618" s="2"/>
    </row>
    <row r="619">
      <c r="E619" s="1"/>
      <c r="F619" s="1"/>
      <c r="G619" s="2"/>
    </row>
    <row r="620">
      <c r="E620" s="1"/>
      <c r="F620" s="1"/>
      <c r="G620" s="2"/>
    </row>
    <row r="621">
      <c r="E621" s="1"/>
      <c r="F621" s="1"/>
      <c r="G621" s="2"/>
    </row>
    <row r="622">
      <c r="E622" s="1"/>
      <c r="F622" s="1"/>
      <c r="G622" s="2"/>
    </row>
    <row r="623">
      <c r="E623" s="1"/>
      <c r="F623" s="1"/>
      <c r="G623" s="2"/>
    </row>
    <row r="624">
      <c r="E624" s="1"/>
      <c r="F624" s="1"/>
      <c r="G624" s="2"/>
    </row>
    <row r="625">
      <c r="E625" s="1"/>
      <c r="F625" s="1"/>
      <c r="G625" s="2"/>
    </row>
    <row r="626">
      <c r="E626" s="1"/>
      <c r="F626" s="1"/>
      <c r="G626" s="2"/>
    </row>
    <row r="627">
      <c r="E627" s="1"/>
      <c r="F627" s="1"/>
      <c r="G627" s="2"/>
    </row>
    <row r="628">
      <c r="E628" s="1"/>
      <c r="F628" s="1"/>
      <c r="G628" s="2"/>
    </row>
    <row r="629">
      <c r="E629" s="1"/>
      <c r="F629" s="1"/>
      <c r="G629" s="2"/>
    </row>
    <row r="630">
      <c r="E630" s="1"/>
      <c r="F630" s="1"/>
      <c r="G630" s="2"/>
    </row>
    <row r="631">
      <c r="E631" s="1"/>
      <c r="F631" s="1"/>
      <c r="G631" s="2"/>
    </row>
    <row r="632">
      <c r="E632" s="1"/>
      <c r="F632" s="1"/>
      <c r="G632" s="2"/>
    </row>
    <row r="633">
      <c r="E633" s="1"/>
      <c r="F633" s="1"/>
      <c r="G633" s="2"/>
    </row>
    <row r="634">
      <c r="E634" s="1"/>
      <c r="F634" s="1"/>
      <c r="G634" s="2"/>
    </row>
    <row r="635">
      <c r="E635" s="1"/>
      <c r="F635" s="1"/>
      <c r="G635" s="2"/>
    </row>
    <row r="636">
      <c r="E636" s="1"/>
      <c r="F636" s="1"/>
      <c r="G636" s="2"/>
    </row>
    <row r="637">
      <c r="E637" s="1"/>
      <c r="F637" s="1"/>
      <c r="G637" s="2"/>
    </row>
    <row r="638">
      <c r="E638" s="1"/>
      <c r="F638" s="1"/>
      <c r="G638" s="2"/>
    </row>
    <row r="639">
      <c r="E639" s="1"/>
      <c r="F639" s="1"/>
      <c r="G639" s="2"/>
    </row>
    <row r="640">
      <c r="E640" s="1"/>
      <c r="F640" s="1"/>
      <c r="G640" s="2"/>
    </row>
    <row r="641">
      <c r="E641" s="1"/>
      <c r="F641" s="1"/>
      <c r="G641" s="2"/>
    </row>
    <row r="642">
      <c r="E642" s="1"/>
      <c r="F642" s="1"/>
      <c r="G642" s="2"/>
    </row>
    <row r="643">
      <c r="E643" s="1"/>
      <c r="F643" s="1"/>
      <c r="G643" s="2"/>
    </row>
    <row r="644">
      <c r="E644" s="1"/>
      <c r="F644" s="1"/>
      <c r="G644" s="2"/>
    </row>
    <row r="645">
      <c r="E645" s="1"/>
      <c r="F645" s="1"/>
      <c r="G645" s="2"/>
    </row>
    <row r="646">
      <c r="E646" s="1"/>
      <c r="F646" s="1"/>
      <c r="G646" s="2"/>
    </row>
    <row r="647">
      <c r="E647" s="1"/>
      <c r="F647" s="1"/>
      <c r="G647" s="2"/>
    </row>
    <row r="648">
      <c r="E648" s="1"/>
      <c r="F648" s="1"/>
      <c r="G648" s="2"/>
    </row>
    <row r="649">
      <c r="E649" s="1"/>
      <c r="F649" s="1"/>
      <c r="G649" s="2"/>
    </row>
    <row r="650">
      <c r="E650" s="1"/>
      <c r="F650" s="1"/>
      <c r="G650" s="2"/>
    </row>
    <row r="651">
      <c r="E651" s="1"/>
      <c r="F651" s="1"/>
      <c r="G651" s="2"/>
    </row>
    <row r="652">
      <c r="E652" s="1"/>
      <c r="F652" s="1"/>
      <c r="G652" s="2"/>
    </row>
    <row r="653">
      <c r="E653" s="1"/>
      <c r="F653" s="1"/>
      <c r="G653" s="2"/>
    </row>
    <row r="654">
      <c r="E654" s="1"/>
      <c r="F654" s="1"/>
      <c r="G654" s="2"/>
    </row>
    <row r="655">
      <c r="E655" s="1"/>
      <c r="F655" s="1"/>
      <c r="G655" s="2"/>
    </row>
    <row r="656">
      <c r="E656" s="1"/>
      <c r="F656" s="1"/>
      <c r="G656" s="2"/>
    </row>
    <row r="657">
      <c r="E657" s="1"/>
      <c r="F657" s="1"/>
      <c r="G657" s="2"/>
    </row>
    <row r="658">
      <c r="E658" s="1"/>
      <c r="F658" s="1"/>
      <c r="G658" s="2"/>
    </row>
    <row r="659">
      <c r="E659" s="1"/>
      <c r="F659" s="1"/>
      <c r="G659" s="2"/>
    </row>
    <row r="660">
      <c r="E660" s="1"/>
      <c r="F660" s="1"/>
      <c r="G660" s="2"/>
    </row>
    <row r="661">
      <c r="E661" s="1"/>
      <c r="F661" s="1"/>
      <c r="G661" s="2"/>
    </row>
    <row r="662">
      <c r="E662" s="1"/>
      <c r="F662" s="1"/>
      <c r="G662" s="2"/>
    </row>
    <row r="663">
      <c r="E663" s="1"/>
      <c r="F663" s="1"/>
      <c r="G663" s="2"/>
    </row>
    <row r="664">
      <c r="E664" s="1"/>
      <c r="F664" s="1"/>
      <c r="G664" s="2"/>
    </row>
    <row r="665">
      <c r="E665" s="1"/>
      <c r="F665" s="1"/>
      <c r="G665" s="2"/>
    </row>
    <row r="666">
      <c r="E666" s="1"/>
      <c r="F666" s="1"/>
      <c r="G666" s="2"/>
    </row>
    <row r="667">
      <c r="E667" s="1"/>
      <c r="F667" s="1"/>
      <c r="G667" s="2"/>
    </row>
    <row r="668">
      <c r="E668" s="1"/>
      <c r="F668" s="1"/>
      <c r="G668" s="2"/>
    </row>
    <row r="669">
      <c r="E669" s="1"/>
      <c r="F669" s="1"/>
      <c r="G669" s="2"/>
    </row>
    <row r="670">
      <c r="E670" s="1"/>
      <c r="F670" s="1"/>
      <c r="G670" s="2"/>
    </row>
    <row r="671">
      <c r="E671" s="1"/>
      <c r="F671" s="1"/>
      <c r="G671" s="2"/>
    </row>
    <row r="672">
      <c r="E672" s="1"/>
      <c r="F672" s="1"/>
      <c r="G672" s="2"/>
    </row>
    <row r="673">
      <c r="E673" s="1"/>
      <c r="F673" s="1"/>
      <c r="G673" s="2"/>
    </row>
    <row r="674">
      <c r="E674" s="1"/>
      <c r="F674" s="1"/>
      <c r="G674" s="2"/>
    </row>
    <row r="675">
      <c r="E675" s="1"/>
      <c r="F675" s="1"/>
      <c r="G675" s="2"/>
    </row>
    <row r="676">
      <c r="E676" s="1"/>
      <c r="F676" s="1"/>
      <c r="G676" s="2"/>
    </row>
    <row r="677">
      <c r="E677" s="1"/>
      <c r="F677" s="1"/>
      <c r="G677" s="2"/>
    </row>
    <row r="678">
      <c r="E678" s="1"/>
      <c r="F678" s="1"/>
      <c r="G678" s="2"/>
    </row>
    <row r="679">
      <c r="E679" s="1"/>
      <c r="F679" s="1"/>
      <c r="G679" s="2"/>
    </row>
    <row r="680">
      <c r="E680" s="1"/>
      <c r="F680" s="1"/>
      <c r="G680" s="2"/>
    </row>
    <row r="681">
      <c r="E681" s="1"/>
      <c r="F681" s="1"/>
      <c r="G681" s="2"/>
    </row>
    <row r="682">
      <c r="E682" s="1"/>
      <c r="F682" s="1"/>
      <c r="G682" s="2"/>
    </row>
    <row r="683">
      <c r="E683" s="1"/>
      <c r="F683" s="1"/>
      <c r="G683" s="2"/>
    </row>
    <row r="684">
      <c r="E684" s="1"/>
      <c r="F684" s="1"/>
      <c r="G684" s="2"/>
    </row>
    <row r="685">
      <c r="E685" s="1"/>
      <c r="F685" s="1"/>
      <c r="G685" s="2"/>
    </row>
    <row r="686">
      <c r="E686" s="1"/>
      <c r="F686" s="1"/>
      <c r="G686" s="2"/>
    </row>
    <row r="687">
      <c r="E687" s="1"/>
      <c r="F687" s="1"/>
      <c r="G687" s="2"/>
    </row>
    <row r="688">
      <c r="E688" s="1"/>
      <c r="F688" s="1"/>
      <c r="G688" s="2"/>
    </row>
    <row r="689">
      <c r="E689" s="1"/>
      <c r="F689" s="1"/>
      <c r="G689" s="2"/>
    </row>
    <row r="690">
      <c r="E690" s="1"/>
      <c r="F690" s="1"/>
      <c r="G690" s="2"/>
    </row>
    <row r="691">
      <c r="E691" s="1"/>
      <c r="F691" s="1"/>
      <c r="G691" s="2"/>
    </row>
    <row r="692">
      <c r="E692" s="1"/>
      <c r="F692" s="1"/>
      <c r="G692" s="2"/>
    </row>
    <row r="693">
      <c r="E693" s="1"/>
      <c r="F693" s="1"/>
      <c r="G693" s="2"/>
    </row>
    <row r="694">
      <c r="E694" s="1"/>
      <c r="F694" s="1"/>
      <c r="G694" s="2"/>
    </row>
    <row r="695">
      <c r="E695" s="1"/>
      <c r="F695" s="1"/>
      <c r="G695" s="2"/>
    </row>
    <row r="696">
      <c r="E696" s="1"/>
      <c r="F696" s="1"/>
      <c r="G696" s="2"/>
    </row>
    <row r="697">
      <c r="E697" s="1"/>
      <c r="F697" s="1"/>
      <c r="G697" s="2"/>
    </row>
    <row r="698">
      <c r="E698" s="1"/>
      <c r="F698" s="1"/>
      <c r="G698" s="2"/>
    </row>
    <row r="699">
      <c r="E699" s="1"/>
      <c r="F699" s="1"/>
      <c r="G699" s="2"/>
    </row>
    <row r="700">
      <c r="E700" s="1"/>
      <c r="F700" s="1"/>
      <c r="G700" s="2"/>
    </row>
    <row r="701">
      <c r="E701" s="1"/>
      <c r="F701" s="1"/>
      <c r="G701" s="2"/>
    </row>
    <row r="702">
      <c r="E702" s="1"/>
      <c r="F702" s="1"/>
      <c r="G702" s="2"/>
    </row>
    <row r="703">
      <c r="E703" s="1"/>
      <c r="F703" s="1"/>
      <c r="G703" s="2"/>
    </row>
    <row r="704">
      <c r="E704" s="1"/>
      <c r="F704" s="1"/>
      <c r="G704" s="2"/>
    </row>
    <row r="705">
      <c r="E705" s="1"/>
      <c r="F705" s="1"/>
      <c r="G705" s="2"/>
    </row>
    <row r="706">
      <c r="E706" s="1"/>
      <c r="F706" s="1"/>
      <c r="G706" s="2"/>
    </row>
    <row r="707">
      <c r="E707" s="1"/>
      <c r="F707" s="1"/>
      <c r="G707" s="2"/>
    </row>
    <row r="708">
      <c r="E708" s="1"/>
      <c r="F708" s="1"/>
      <c r="G708" s="2"/>
    </row>
    <row r="709">
      <c r="E709" s="1"/>
      <c r="F709" s="1"/>
      <c r="G709" s="2"/>
    </row>
    <row r="710">
      <c r="E710" s="1"/>
      <c r="F710" s="1"/>
      <c r="G710" s="2"/>
    </row>
    <row r="711">
      <c r="E711" s="1"/>
      <c r="F711" s="1"/>
      <c r="G711" s="2"/>
    </row>
    <row r="712">
      <c r="E712" s="1"/>
      <c r="F712" s="1"/>
      <c r="G712" s="2"/>
    </row>
    <row r="713">
      <c r="E713" s="1"/>
      <c r="F713" s="1"/>
      <c r="G713" s="2"/>
    </row>
    <row r="714">
      <c r="E714" s="1"/>
      <c r="F714" s="1"/>
      <c r="G714" s="2"/>
    </row>
    <row r="715">
      <c r="E715" s="1"/>
      <c r="F715" s="1"/>
      <c r="G715" s="2"/>
    </row>
    <row r="716">
      <c r="E716" s="1"/>
      <c r="F716" s="1"/>
      <c r="G716" s="2"/>
    </row>
    <row r="717">
      <c r="E717" s="1"/>
      <c r="F717" s="1"/>
      <c r="G717" s="2"/>
    </row>
    <row r="718">
      <c r="E718" s="1"/>
      <c r="F718" s="1"/>
      <c r="G718" s="2"/>
    </row>
    <row r="719">
      <c r="E719" s="1"/>
      <c r="F719" s="1"/>
      <c r="G719" s="2"/>
    </row>
    <row r="720">
      <c r="E720" s="1"/>
      <c r="F720" s="1"/>
      <c r="G720" s="2"/>
    </row>
    <row r="721">
      <c r="E721" s="1"/>
      <c r="F721" s="1"/>
      <c r="G721" s="2"/>
    </row>
    <row r="722">
      <c r="E722" s="1"/>
      <c r="F722" s="1"/>
      <c r="G722" s="2"/>
    </row>
    <row r="723">
      <c r="E723" s="1"/>
      <c r="F723" s="1"/>
      <c r="G723" s="2"/>
    </row>
    <row r="724">
      <c r="E724" s="1"/>
      <c r="F724" s="1"/>
      <c r="G724" s="2"/>
    </row>
    <row r="725">
      <c r="E725" s="1"/>
      <c r="F725" s="1"/>
      <c r="G725" s="2"/>
    </row>
    <row r="726">
      <c r="E726" s="1"/>
      <c r="F726" s="1"/>
      <c r="G726" s="2"/>
    </row>
    <row r="727">
      <c r="E727" s="1"/>
      <c r="F727" s="1"/>
      <c r="G727" s="2"/>
    </row>
    <row r="728">
      <c r="E728" s="1"/>
      <c r="F728" s="1"/>
      <c r="G728" s="2"/>
    </row>
    <row r="729">
      <c r="E729" s="1"/>
      <c r="F729" s="1"/>
      <c r="G729" s="2"/>
    </row>
    <row r="730">
      <c r="E730" s="1"/>
      <c r="F730" s="1"/>
      <c r="G730" s="2"/>
    </row>
    <row r="731">
      <c r="E731" s="1"/>
      <c r="F731" s="1"/>
      <c r="G731" s="2"/>
    </row>
    <row r="732">
      <c r="E732" s="1"/>
      <c r="F732" s="1"/>
      <c r="G732" s="2"/>
    </row>
    <row r="733">
      <c r="E733" s="1"/>
      <c r="F733" s="1"/>
      <c r="G733" s="2"/>
    </row>
    <row r="734">
      <c r="E734" s="1"/>
      <c r="F734" s="1"/>
      <c r="G734" s="2"/>
    </row>
    <row r="735">
      <c r="E735" s="1"/>
      <c r="F735" s="1"/>
      <c r="G735" s="2"/>
    </row>
    <row r="736">
      <c r="E736" s="1"/>
      <c r="F736" s="1"/>
      <c r="G736" s="2"/>
    </row>
    <row r="737">
      <c r="E737" s="1"/>
      <c r="F737" s="1"/>
      <c r="G737" s="2"/>
    </row>
    <row r="738">
      <c r="E738" s="1"/>
      <c r="F738" s="1"/>
      <c r="G738" s="2"/>
    </row>
    <row r="739">
      <c r="E739" s="1"/>
      <c r="F739" s="1"/>
      <c r="G739" s="2"/>
    </row>
    <row r="740">
      <c r="E740" s="1"/>
      <c r="F740" s="1"/>
      <c r="G740" s="2"/>
    </row>
    <row r="741">
      <c r="E741" s="1"/>
      <c r="F741" s="1"/>
      <c r="G741" s="2"/>
    </row>
    <row r="742">
      <c r="E742" s="1"/>
      <c r="F742" s="1"/>
      <c r="G742" s="2"/>
    </row>
    <row r="743">
      <c r="E743" s="1"/>
      <c r="F743" s="1"/>
      <c r="G743" s="2"/>
    </row>
    <row r="744">
      <c r="E744" s="1"/>
      <c r="F744" s="1"/>
      <c r="G744" s="2"/>
    </row>
    <row r="745">
      <c r="E745" s="1"/>
      <c r="F745" s="1"/>
      <c r="G745" s="2"/>
    </row>
    <row r="746">
      <c r="E746" s="1"/>
      <c r="F746" s="1"/>
      <c r="G746" s="2"/>
    </row>
    <row r="747">
      <c r="E747" s="1"/>
      <c r="F747" s="1"/>
      <c r="G747" s="2"/>
    </row>
    <row r="748">
      <c r="E748" s="1"/>
      <c r="F748" s="1"/>
      <c r="G748" s="2"/>
    </row>
    <row r="749">
      <c r="E749" s="1"/>
      <c r="F749" s="1"/>
      <c r="G749" s="2"/>
    </row>
    <row r="750">
      <c r="E750" s="1"/>
      <c r="F750" s="1"/>
      <c r="G750" s="2"/>
    </row>
    <row r="751">
      <c r="E751" s="1"/>
      <c r="F751" s="1"/>
      <c r="G751" s="2"/>
    </row>
    <row r="752">
      <c r="E752" s="1"/>
      <c r="F752" s="1"/>
      <c r="G752" s="2"/>
    </row>
    <row r="753">
      <c r="E753" s="1"/>
      <c r="F753" s="1"/>
      <c r="G753" s="2"/>
    </row>
    <row r="754">
      <c r="E754" s="1"/>
      <c r="F754" s="1"/>
      <c r="G754" s="2"/>
    </row>
    <row r="755">
      <c r="E755" s="1"/>
      <c r="F755" s="1"/>
      <c r="G755" s="2"/>
    </row>
    <row r="756">
      <c r="E756" s="1"/>
      <c r="F756" s="1"/>
      <c r="G756" s="2"/>
    </row>
    <row r="757">
      <c r="E757" s="1"/>
      <c r="F757" s="1"/>
      <c r="G757" s="2"/>
    </row>
    <row r="758">
      <c r="E758" s="1"/>
      <c r="F758" s="1"/>
      <c r="G758" s="2"/>
    </row>
    <row r="759">
      <c r="E759" s="1"/>
      <c r="F759" s="1"/>
      <c r="G759" s="2"/>
    </row>
    <row r="760">
      <c r="E760" s="1"/>
      <c r="F760" s="1"/>
      <c r="G760" s="2"/>
    </row>
    <row r="761">
      <c r="E761" s="1"/>
      <c r="F761" s="1"/>
      <c r="G761" s="2"/>
    </row>
    <row r="762">
      <c r="E762" s="1"/>
      <c r="F762" s="1"/>
      <c r="G762" s="2"/>
    </row>
    <row r="763">
      <c r="E763" s="1"/>
      <c r="F763" s="1"/>
      <c r="G763" s="2"/>
    </row>
    <row r="764">
      <c r="E764" s="1"/>
      <c r="F764" s="1"/>
      <c r="G764" s="2"/>
    </row>
    <row r="765">
      <c r="E765" s="1"/>
      <c r="F765" s="1"/>
      <c r="G765" s="2"/>
    </row>
    <row r="766">
      <c r="E766" s="1"/>
      <c r="F766" s="1"/>
      <c r="G766" s="2"/>
    </row>
    <row r="767">
      <c r="E767" s="1"/>
      <c r="F767" s="1"/>
      <c r="G767" s="2"/>
    </row>
    <row r="768">
      <c r="E768" s="1"/>
      <c r="F768" s="1"/>
      <c r="G768" s="2"/>
    </row>
    <row r="769">
      <c r="E769" s="1"/>
      <c r="F769" s="1"/>
      <c r="G769" s="2"/>
    </row>
    <row r="770">
      <c r="E770" s="1"/>
      <c r="F770" s="1"/>
      <c r="G770" s="2"/>
    </row>
    <row r="771">
      <c r="E771" s="1"/>
      <c r="F771" s="1"/>
      <c r="G771" s="2"/>
    </row>
    <row r="772">
      <c r="E772" s="1"/>
      <c r="F772" s="1"/>
      <c r="G772" s="2"/>
    </row>
    <row r="773">
      <c r="E773" s="1"/>
      <c r="F773" s="1"/>
      <c r="G773" s="2"/>
    </row>
    <row r="774">
      <c r="E774" s="1"/>
      <c r="F774" s="1"/>
      <c r="G774" s="2"/>
    </row>
    <row r="775">
      <c r="E775" s="1"/>
      <c r="F775" s="1"/>
      <c r="G775" s="2"/>
    </row>
    <row r="776">
      <c r="E776" s="1"/>
      <c r="F776" s="1"/>
      <c r="G776" s="2"/>
    </row>
    <row r="777">
      <c r="E777" s="1"/>
      <c r="F777" s="1"/>
      <c r="G777" s="2"/>
    </row>
    <row r="778">
      <c r="E778" s="1"/>
      <c r="F778" s="1"/>
      <c r="G778" s="2"/>
    </row>
    <row r="779">
      <c r="E779" s="1"/>
      <c r="F779" s="1"/>
      <c r="G779" s="2"/>
    </row>
    <row r="780">
      <c r="E780" s="1"/>
      <c r="F780" s="1"/>
      <c r="G780" s="2"/>
    </row>
    <row r="781">
      <c r="E781" s="1"/>
      <c r="F781" s="1"/>
      <c r="G781" s="2"/>
    </row>
    <row r="782">
      <c r="E782" s="1"/>
      <c r="F782" s="1"/>
      <c r="G782" s="2"/>
    </row>
    <row r="783">
      <c r="E783" s="1"/>
      <c r="F783" s="1"/>
      <c r="G783" s="2"/>
    </row>
    <row r="784">
      <c r="E784" s="1"/>
      <c r="F784" s="1"/>
      <c r="G784" s="2"/>
    </row>
    <row r="785">
      <c r="E785" s="1"/>
      <c r="F785" s="1"/>
      <c r="G785" s="2"/>
    </row>
    <row r="786">
      <c r="E786" s="1"/>
      <c r="F786" s="1"/>
      <c r="G786" s="2"/>
    </row>
    <row r="787">
      <c r="E787" s="1"/>
      <c r="F787" s="1"/>
      <c r="G787" s="2"/>
    </row>
    <row r="788">
      <c r="E788" s="1"/>
      <c r="F788" s="1"/>
      <c r="G788" s="2"/>
    </row>
    <row r="789">
      <c r="E789" s="1"/>
      <c r="F789" s="1"/>
      <c r="G789" s="2"/>
    </row>
    <row r="790">
      <c r="E790" s="1"/>
      <c r="F790" s="1"/>
      <c r="G790" s="2"/>
    </row>
    <row r="791">
      <c r="E791" s="1"/>
      <c r="F791" s="1"/>
      <c r="G791" s="2"/>
    </row>
    <row r="792">
      <c r="E792" s="1"/>
      <c r="F792" s="1"/>
      <c r="G792" s="2"/>
    </row>
    <row r="793">
      <c r="E793" s="1"/>
      <c r="F793" s="1"/>
      <c r="G793" s="2"/>
    </row>
    <row r="794">
      <c r="E794" s="1"/>
      <c r="F794" s="1"/>
      <c r="G794" s="2"/>
    </row>
    <row r="795">
      <c r="E795" s="1"/>
      <c r="F795" s="1"/>
      <c r="G795" s="2"/>
    </row>
    <row r="796">
      <c r="E796" s="1"/>
      <c r="F796" s="1"/>
      <c r="G796" s="2"/>
    </row>
    <row r="797">
      <c r="E797" s="1"/>
      <c r="F797" s="1"/>
      <c r="G797" s="2"/>
    </row>
    <row r="798">
      <c r="E798" s="1"/>
      <c r="F798" s="1"/>
      <c r="G798" s="2"/>
    </row>
    <row r="799">
      <c r="E799" s="1"/>
      <c r="F799" s="1"/>
      <c r="G799" s="2"/>
    </row>
    <row r="800">
      <c r="E800" s="1"/>
      <c r="F800" s="1"/>
      <c r="G800" s="2"/>
    </row>
    <row r="801">
      <c r="E801" s="1"/>
      <c r="F801" s="1"/>
      <c r="G801" s="2"/>
    </row>
    <row r="802">
      <c r="E802" s="1"/>
      <c r="F802" s="1"/>
      <c r="G802" s="2"/>
    </row>
    <row r="803">
      <c r="E803" s="1"/>
      <c r="F803" s="1"/>
      <c r="G803" s="2"/>
    </row>
    <row r="804">
      <c r="E804" s="1"/>
      <c r="F804" s="1"/>
      <c r="G804" s="2"/>
    </row>
    <row r="805">
      <c r="E805" s="1"/>
      <c r="F805" s="1"/>
      <c r="G805" s="2"/>
    </row>
    <row r="806">
      <c r="E806" s="1"/>
      <c r="F806" s="1"/>
      <c r="G806" s="2"/>
    </row>
    <row r="807">
      <c r="E807" s="1"/>
      <c r="F807" s="1"/>
      <c r="G807" s="2"/>
    </row>
    <row r="808">
      <c r="E808" s="1"/>
      <c r="F808" s="1"/>
      <c r="G808" s="2"/>
    </row>
    <row r="809">
      <c r="E809" s="1"/>
      <c r="F809" s="1"/>
      <c r="G809" s="2"/>
    </row>
    <row r="810">
      <c r="E810" s="1"/>
      <c r="F810" s="1"/>
      <c r="G810" s="2"/>
    </row>
    <row r="811">
      <c r="E811" s="1"/>
      <c r="F811" s="1"/>
      <c r="G811" s="2"/>
    </row>
    <row r="812">
      <c r="E812" s="1"/>
      <c r="F812" s="1"/>
      <c r="G812" s="2"/>
    </row>
    <row r="813">
      <c r="E813" s="1"/>
      <c r="F813" s="1"/>
      <c r="G813" s="2"/>
    </row>
    <row r="814">
      <c r="E814" s="1"/>
      <c r="F814" s="1"/>
      <c r="G814" s="2"/>
    </row>
    <row r="815">
      <c r="E815" s="1"/>
      <c r="F815" s="1"/>
      <c r="G815" s="2"/>
    </row>
    <row r="816">
      <c r="E816" s="1"/>
      <c r="F816" s="1"/>
      <c r="G816" s="2"/>
    </row>
    <row r="817">
      <c r="E817" s="1"/>
      <c r="F817" s="1"/>
      <c r="G817" s="2"/>
    </row>
    <row r="818">
      <c r="E818" s="1"/>
      <c r="F818" s="1"/>
      <c r="G818" s="2"/>
    </row>
    <row r="819">
      <c r="E819" s="1"/>
      <c r="F819" s="1"/>
      <c r="G819" s="2"/>
    </row>
    <row r="820">
      <c r="E820" s="1"/>
      <c r="F820" s="1"/>
      <c r="G820" s="2"/>
    </row>
    <row r="821">
      <c r="E821" s="1"/>
      <c r="F821" s="1"/>
      <c r="G821" s="2"/>
    </row>
    <row r="822">
      <c r="E822" s="1"/>
      <c r="F822" s="1"/>
      <c r="G822" s="2"/>
    </row>
    <row r="823">
      <c r="E823" s="1"/>
      <c r="F823" s="1"/>
      <c r="G823" s="2"/>
    </row>
    <row r="824">
      <c r="E824" s="1"/>
      <c r="F824" s="1"/>
      <c r="G824" s="2"/>
    </row>
    <row r="825">
      <c r="E825" s="1"/>
      <c r="F825" s="1"/>
      <c r="G825" s="2"/>
    </row>
    <row r="826">
      <c r="E826" s="1"/>
      <c r="F826" s="1"/>
      <c r="G826" s="2"/>
    </row>
    <row r="827">
      <c r="E827" s="1"/>
      <c r="F827" s="1"/>
      <c r="G827" s="2"/>
    </row>
    <row r="828">
      <c r="E828" s="1"/>
      <c r="F828" s="1"/>
      <c r="G828" s="2"/>
    </row>
    <row r="829">
      <c r="E829" s="1"/>
      <c r="F829" s="1"/>
      <c r="G829" s="2"/>
    </row>
    <row r="830">
      <c r="E830" s="1"/>
      <c r="F830" s="1"/>
      <c r="G830" s="2"/>
    </row>
    <row r="831">
      <c r="E831" s="1"/>
      <c r="F831" s="1"/>
      <c r="G831" s="2"/>
    </row>
    <row r="832">
      <c r="E832" s="1"/>
      <c r="F832" s="1"/>
      <c r="G832" s="2"/>
    </row>
    <row r="833">
      <c r="E833" s="1"/>
      <c r="F833" s="1"/>
      <c r="G833" s="2"/>
    </row>
    <row r="834">
      <c r="E834" s="1"/>
      <c r="F834" s="1"/>
      <c r="G834" s="2"/>
    </row>
    <row r="835">
      <c r="E835" s="1"/>
      <c r="F835" s="1"/>
      <c r="G835" s="2"/>
    </row>
    <row r="836">
      <c r="E836" s="1"/>
      <c r="F836" s="1"/>
      <c r="G836" s="2"/>
    </row>
    <row r="837">
      <c r="E837" s="1"/>
      <c r="F837" s="1"/>
      <c r="G837" s="2"/>
    </row>
    <row r="838">
      <c r="E838" s="1"/>
      <c r="F838" s="1"/>
      <c r="G838" s="2"/>
    </row>
    <row r="839">
      <c r="E839" s="1"/>
      <c r="F839" s="1"/>
      <c r="G839" s="2"/>
    </row>
    <row r="840">
      <c r="E840" s="1"/>
      <c r="F840" s="1"/>
      <c r="G840" s="2"/>
    </row>
    <row r="841">
      <c r="E841" s="1"/>
      <c r="F841" s="1"/>
      <c r="G841" s="2"/>
    </row>
    <row r="842">
      <c r="E842" s="1"/>
      <c r="F842" s="1"/>
      <c r="G842" s="2"/>
    </row>
    <row r="843">
      <c r="E843" s="1"/>
      <c r="F843" s="1"/>
      <c r="G843" s="2"/>
    </row>
    <row r="844">
      <c r="E844" s="1"/>
      <c r="F844" s="1"/>
      <c r="G844" s="2"/>
    </row>
    <row r="845">
      <c r="E845" s="1"/>
      <c r="F845" s="1"/>
      <c r="G845" s="2"/>
    </row>
    <row r="846">
      <c r="E846" s="1"/>
      <c r="F846" s="1"/>
      <c r="G846" s="2"/>
    </row>
    <row r="847">
      <c r="E847" s="1"/>
      <c r="F847" s="1"/>
      <c r="G847" s="2"/>
    </row>
    <row r="848">
      <c r="E848" s="1"/>
      <c r="F848" s="1"/>
      <c r="G848" s="2"/>
    </row>
    <row r="849">
      <c r="E849" s="1"/>
      <c r="F849" s="1"/>
      <c r="G849" s="2"/>
    </row>
    <row r="850">
      <c r="E850" s="1"/>
      <c r="F850" s="1"/>
      <c r="G850" s="2"/>
    </row>
    <row r="851">
      <c r="E851" s="1"/>
      <c r="F851" s="1"/>
      <c r="G851" s="2"/>
    </row>
    <row r="852">
      <c r="E852" s="1"/>
      <c r="F852" s="1"/>
      <c r="G852" s="2"/>
    </row>
    <row r="853">
      <c r="E853" s="1"/>
      <c r="F853" s="1"/>
      <c r="G853" s="2"/>
    </row>
    <row r="854">
      <c r="E854" s="1"/>
      <c r="F854" s="1"/>
      <c r="G854" s="2"/>
    </row>
    <row r="855">
      <c r="E855" s="1"/>
      <c r="F855" s="1"/>
      <c r="G855" s="2"/>
    </row>
    <row r="856">
      <c r="E856" s="1"/>
      <c r="F856" s="1"/>
      <c r="G856" s="2"/>
    </row>
    <row r="857">
      <c r="E857" s="1"/>
      <c r="F857" s="1"/>
      <c r="G857" s="2"/>
    </row>
    <row r="858">
      <c r="E858" s="1"/>
      <c r="F858" s="1"/>
      <c r="G858" s="2"/>
    </row>
    <row r="859">
      <c r="E859" s="1"/>
      <c r="F859" s="1"/>
      <c r="G859" s="2"/>
    </row>
    <row r="860">
      <c r="E860" s="1"/>
      <c r="F860" s="1"/>
      <c r="G860" s="2"/>
    </row>
    <row r="861">
      <c r="E861" s="1"/>
      <c r="F861" s="1"/>
      <c r="G861" s="2"/>
    </row>
    <row r="862">
      <c r="E862" s="1"/>
      <c r="F862" s="1"/>
      <c r="G862" s="2"/>
    </row>
    <row r="863">
      <c r="E863" s="1"/>
      <c r="F863" s="1"/>
      <c r="G863" s="2"/>
    </row>
    <row r="864">
      <c r="E864" s="1"/>
      <c r="F864" s="1"/>
      <c r="G864" s="2"/>
    </row>
    <row r="865">
      <c r="E865" s="1"/>
      <c r="F865" s="1"/>
      <c r="G865" s="2"/>
    </row>
    <row r="866">
      <c r="E866" s="1"/>
      <c r="F866" s="1"/>
      <c r="G866" s="2"/>
    </row>
    <row r="867">
      <c r="E867" s="1"/>
      <c r="F867" s="1"/>
      <c r="G867" s="2"/>
    </row>
    <row r="868">
      <c r="E868" s="1"/>
      <c r="F868" s="1"/>
      <c r="G868" s="2"/>
    </row>
    <row r="869">
      <c r="E869" s="1"/>
      <c r="F869" s="1"/>
      <c r="G869" s="2"/>
    </row>
    <row r="870">
      <c r="E870" s="1"/>
      <c r="F870" s="1"/>
      <c r="G870" s="2"/>
    </row>
    <row r="871">
      <c r="E871" s="1"/>
      <c r="F871" s="1"/>
      <c r="G871" s="2"/>
    </row>
    <row r="872">
      <c r="E872" s="1"/>
      <c r="F872" s="1"/>
      <c r="G872" s="2"/>
    </row>
    <row r="873">
      <c r="E873" s="1"/>
      <c r="F873" s="1"/>
      <c r="G873" s="2"/>
    </row>
    <row r="874">
      <c r="E874" s="1"/>
      <c r="F874" s="1"/>
      <c r="G874" s="2"/>
    </row>
    <row r="875">
      <c r="E875" s="1"/>
      <c r="F875" s="1"/>
      <c r="G875" s="2"/>
    </row>
    <row r="876">
      <c r="E876" s="1"/>
      <c r="F876" s="1"/>
      <c r="G876" s="2"/>
    </row>
    <row r="877">
      <c r="E877" s="1"/>
      <c r="F877" s="1"/>
      <c r="G877" s="2"/>
    </row>
    <row r="878">
      <c r="E878" s="1"/>
      <c r="F878" s="1"/>
      <c r="G878" s="2"/>
    </row>
    <row r="879">
      <c r="E879" s="1"/>
      <c r="F879" s="1"/>
      <c r="G879" s="2"/>
    </row>
    <row r="880">
      <c r="E880" s="1"/>
      <c r="F880" s="1"/>
      <c r="G880" s="2"/>
    </row>
    <row r="881">
      <c r="E881" s="1"/>
      <c r="F881" s="1"/>
      <c r="G881" s="2"/>
    </row>
    <row r="882">
      <c r="E882" s="1"/>
      <c r="F882" s="1"/>
      <c r="G882" s="2"/>
    </row>
    <row r="883">
      <c r="E883" s="1"/>
      <c r="F883" s="1"/>
      <c r="G883" s="2"/>
    </row>
    <row r="884">
      <c r="E884" s="1"/>
      <c r="F884" s="1"/>
      <c r="G884" s="2"/>
    </row>
    <row r="885">
      <c r="E885" s="1"/>
      <c r="F885" s="1"/>
      <c r="G885" s="2"/>
    </row>
    <row r="886">
      <c r="E886" s="1"/>
      <c r="F886" s="1"/>
      <c r="G886" s="2"/>
    </row>
    <row r="887">
      <c r="E887" s="1"/>
      <c r="F887" s="1"/>
      <c r="G887" s="2"/>
    </row>
    <row r="888">
      <c r="E888" s="1"/>
      <c r="F888" s="1"/>
      <c r="G888" s="2"/>
    </row>
    <row r="889">
      <c r="E889" s="1"/>
      <c r="F889" s="1"/>
      <c r="G889" s="2"/>
    </row>
    <row r="890">
      <c r="E890" s="1"/>
      <c r="F890" s="1"/>
      <c r="G890" s="2"/>
    </row>
    <row r="891">
      <c r="E891" s="1"/>
      <c r="F891" s="1"/>
      <c r="G891" s="2"/>
    </row>
    <row r="892">
      <c r="E892" s="1"/>
      <c r="F892" s="1"/>
      <c r="G892" s="2"/>
    </row>
    <row r="893">
      <c r="E893" s="1"/>
      <c r="F893" s="1"/>
      <c r="G893" s="2"/>
    </row>
    <row r="894">
      <c r="E894" s="1"/>
      <c r="F894" s="1"/>
      <c r="G894" s="2"/>
    </row>
    <row r="895">
      <c r="E895" s="1"/>
      <c r="F895" s="1"/>
      <c r="G895" s="2"/>
    </row>
    <row r="896">
      <c r="E896" s="1"/>
      <c r="F896" s="1"/>
      <c r="G896" s="2"/>
    </row>
    <row r="897">
      <c r="E897" s="1"/>
      <c r="F897" s="1"/>
      <c r="G897" s="2"/>
    </row>
    <row r="898">
      <c r="E898" s="1"/>
      <c r="F898" s="1"/>
      <c r="G898" s="2"/>
    </row>
    <row r="899">
      <c r="E899" s="1"/>
      <c r="F899" s="1"/>
      <c r="G899" s="2"/>
    </row>
    <row r="900">
      <c r="E900" s="1"/>
      <c r="F900" s="1"/>
      <c r="G900" s="2"/>
    </row>
    <row r="901">
      <c r="E901" s="1"/>
      <c r="F901" s="1"/>
      <c r="G901" s="2"/>
    </row>
    <row r="902">
      <c r="E902" s="1"/>
      <c r="F902" s="1"/>
      <c r="G902" s="2"/>
    </row>
    <row r="903">
      <c r="E903" s="1"/>
      <c r="F903" s="1"/>
      <c r="G903" s="2"/>
    </row>
    <row r="904">
      <c r="E904" s="1"/>
      <c r="F904" s="1"/>
      <c r="G904" s="2"/>
    </row>
    <row r="905">
      <c r="E905" s="1"/>
      <c r="F905" s="1"/>
      <c r="G905" s="2"/>
    </row>
    <row r="906">
      <c r="E906" s="1"/>
      <c r="F906" s="1"/>
      <c r="G906" s="2"/>
    </row>
    <row r="907">
      <c r="E907" s="1"/>
      <c r="F907" s="1"/>
      <c r="G907" s="2"/>
    </row>
    <row r="908">
      <c r="E908" s="1"/>
      <c r="F908" s="1"/>
      <c r="G908" s="2"/>
    </row>
    <row r="909">
      <c r="E909" s="1"/>
      <c r="F909" s="1"/>
      <c r="G909" s="2"/>
    </row>
    <row r="910">
      <c r="E910" s="1"/>
      <c r="F910" s="1"/>
      <c r="G910" s="2"/>
    </row>
    <row r="911">
      <c r="E911" s="1"/>
      <c r="F911" s="1"/>
      <c r="G911" s="2"/>
    </row>
    <row r="912">
      <c r="E912" s="1"/>
      <c r="F912" s="1"/>
      <c r="G912" s="2"/>
    </row>
    <row r="913">
      <c r="E913" s="1"/>
      <c r="F913" s="1"/>
      <c r="G913" s="2"/>
    </row>
    <row r="914">
      <c r="E914" s="1"/>
      <c r="F914" s="1"/>
      <c r="G914" s="2"/>
    </row>
    <row r="915">
      <c r="E915" s="1"/>
      <c r="F915" s="1"/>
      <c r="G915" s="2"/>
    </row>
    <row r="916">
      <c r="E916" s="1"/>
      <c r="F916" s="1"/>
      <c r="G916" s="2"/>
    </row>
    <row r="917">
      <c r="E917" s="1"/>
      <c r="F917" s="1"/>
      <c r="G917" s="2"/>
    </row>
    <row r="918">
      <c r="E918" s="1"/>
      <c r="F918" s="1"/>
      <c r="G918" s="2"/>
    </row>
    <row r="919">
      <c r="E919" s="1"/>
      <c r="F919" s="1"/>
      <c r="G919" s="2"/>
    </row>
    <row r="920">
      <c r="E920" s="1"/>
      <c r="F920" s="1"/>
      <c r="G920" s="2"/>
    </row>
    <row r="921">
      <c r="E921" s="1"/>
      <c r="F921" s="1"/>
      <c r="G921" s="2"/>
    </row>
    <row r="922">
      <c r="E922" s="1"/>
      <c r="F922" s="1"/>
      <c r="G922" s="2"/>
    </row>
    <row r="923">
      <c r="E923" s="1"/>
      <c r="F923" s="1"/>
      <c r="G923" s="2"/>
    </row>
    <row r="924">
      <c r="E924" s="1"/>
      <c r="F924" s="1"/>
      <c r="G924" s="2"/>
    </row>
    <row r="925">
      <c r="E925" s="1"/>
      <c r="F925" s="1"/>
      <c r="G925" s="2"/>
    </row>
    <row r="926">
      <c r="E926" s="1"/>
      <c r="F926" s="1"/>
      <c r="G926" s="2"/>
    </row>
    <row r="927">
      <c r="E927" s="1"/>
      <c r="F927" s="1"/>
      <c r="G927" s="2"/>
    </row>
    <row r="928">
      <c r="E928" s="1"/>
      <c r="F928" s="1"/>
      <c r="G928" s="2"/>
    </row>
    <row r="929">
      <c r="E929" s="1"/>
      <c r="F929" s="1"/>
      <c r="G929" s="2"/>
    </row>
    <row r="930">
      <c r="E930" s="1"/>
      <c r="F930" s="1"/>
      <c r="G930" s="2"/>
    </row>
    <row r="931">
      <c r="E931" s="1"/>
      <c r="F931" s="1"/>
      <c r="G931" s="2"/>
    </row>
    <row r="932">
      <c r="E932" s="1"/>
      <c r="F932" s="1"/>
      <c r="G932" s="2"/>
    </row>
    <row r="933">
      <c r="E933" s="1"/>
      <c r="F933" s="1"/>
      <c r="G933" s="2"/>
    </row>
    <row r="934">
      <c r="E934" s="1"/>
      <c r="F934" s="1"/>
      <c r="G934" s="2"/>
    </row>
    <row r="935">
      <c r="E935" s="1"/>
      <c r="F935" s="1"/>
      <c r="G935" s="2"/>
    </row>
    <row r="936">
      <c r="E936" s="1"/>
      <c r="F936" s="1"/>
      <c r="G936" s="2"/>
    </row>
    <row r="937">
      <c r="E937" s="1"/>
      <c r="F937" s="1"/>
      <c r="G937" s="2"/>
    </row>
    <row r="938">
      <c r="E938" s="1"/>
      <c r="F938" s="1"/>
      <c r="G938" s="2"/>
    </row>
    <row r="939">
      <c r="E939" s="1"/>
      <c r="F939" s="1"/>
      <c r="G939" s="2"/>
    </row>
    <row r="940">
      <c r="E940" s="1"/>
      <c r="F940" s="1"/>
      <c r="G940" s="2"/>
    </row>
    <row r="941">
      <c r="E941" s="1"/>
      <c r="F941" s="1"/>
      <c r="G941" s="2"/>
    </row>
    <row r="942">
      <c r="E942" s="1"/>
      <c r="F942" s="1"/>
      <c r="G942" s="2"/>
    </row>
    <row r="943">
      <c r="E943" s="1"/>
      <c r="F943" s="1"/>
      <c r="G943" s="2"/>
    </row>
    <row r="944">
      <c r="E944" s="1"/>
      <c r="F944" s="1"/>
      <c r="G944" s="2"/>
    </row>
    <row r="945">
      <c r="E945" s="1"/>
      <c r="F945" s="1"/>
      <c r="G945" s="2"/>
    </row>
    <row r="946">
      <c r="E946" s="1"/>
      <c r="F946" s="1"/>
      <c r="G946" s="2"/>
    </row>
    <row r="947">
      <c r="E947" s="1"/>
      <c r="F947" s="1"/>
      <c r="G947" s="2"/>
    </row>
    <row r="948">
      <c r="E948" s="1"/>
      <c r="F948" s="1"/>
      <c r="G948" s="2"/>
    </row>
    <row r="949">
      <c r="E949" s="1"/>
      <c r="F949" s="1"/>
      <c r="G949" s="2"/>
    </row>
    <row r="950">
      <c r="E950" s="1"/>
      <c r="F950" s="1"/>
      <c r="G950" s="2"/>
    </row>
    <row r="951">
      <c r="E951" s="1"/>
      <c r="F951" s="1"/>
      <c r="G951" s="2"/>
    </row>
    <row r="952">
      <c r="E952" s="1"/>
      <c r="F952" s="1"/>
      <c r="G952" s="2"/>
    </row>
    <row r="953">
      <c r="E953" s="1"/>
      <c r="F953" s="1"/>
      <c r="G953" s="2"/>
    </row>
    <row r="954">
      <c r="E954" s="1"/>
      <c r="F954" s="1"/>
      <c r="G954" s="2"/>
    </row>
    <row r="955">
      <c r="E955" s="1"/>
      <c r="F955" s="1"/>
      <c r="G955" s="2"/>
    </row>
    <row r="956">
      <c r="E956" s="1"/>
      <c r="F956" s="1"/>
      <c r="G956" s="2"/>
    </row>
    <row r="957">
      <c r="E957" s="1"/>
      <c r="F957" s="1"/>
      <c r="G957" s="2"/>
    </row>
    <row r="958">
      <c r="E958" s="1"/>
      <c r="F958" s="1"/>
      <c r="G958" s="2"/>
    </row>
    <row r="959">
      <c r="E959" s="1"/>
      <c r="F959" s="1"/>
      <c r="G959" s="2"/>
    </row>
    <row r="960">
      <c r="E960" s="1"/>
      <c r="F960" s="1"/>
      <c r="G960" s="2"/>
    </row>
    <row r="961">
      <c r="E961" s="1"/>
      <c r="F961" s="1"/>
      <c r="G961" s="2"/>
    </row>
    <row r="962">
      <c r="E962" s="1"/>
      <c r="F962" s="1"/>
      <c r="G962" s="2"/>
    </row>
    <row r="963">
      <c r="E963" s="1"/>
      <c r="F963" s="1"/>
      <c r="G963" s="2"/>
    </row>
    <row r="964">
      <c r="E964" s="1"/>
      <c r="F964" s="1"/>
      <c r="G964" s="2"/>
    </row>
    <row r="965">
      <c r="E965" s="1"/>
      <c r="F965" s="1"/>
      <c r="G965" s="2"/>
    </row>
    <row r="966">
      <c r="E966" s="1"/>
      <c r="F966" s="1"/>
      <c r="G966" s="2"/>
    </row>
    <row r="967">
      <c r="E967" s="1"/>
      <c r="F967" s="1"/>
      <c r="G967" s="2"/>
    </row>
    <row r="968">
      <c r="E968" s="1"/>
      <c r="F968" s="1"/>
      <c r="G968" s="2"/>
    </row>
    <row r="969">
      <c r="E969" s="1"/>
      <c r="F969" s="1"/>
      <c r="G969" s="2"/>
    </row>
    <row r="970">
      <c r="E970" s="1"/>
      <c r="F970" s="1"/>
      <c r="G970" s="2"/>
    </row>
    <row r="971">
      <c r="E971" s="1"/>
      <c r="F971" s="1"/>
      <c r="G971" s="2"/>
    </row>
    <row r="972">
      <c r="E972" s="1"/>
      <c r="F972" s="1"/>
      <c r="G972" s="2"/>
    </row>
    <row r="973">
      <c r="E973" s="1"/>
      <c r="F973" s="1"/>
      <c r="G973" s="2"/>
    </row>
    <row r="974">
      <c r="E974" s="1"/>
      <c r="F974" s="1"/>
      <c r="G974" s="2"/>
    </row>
    <row r="975">
      <c r="E975" s="1"/>
      <c r="F975" s="1"/>
      <c r="G975" s="2"/>
    </row>
    <row r="976">
      <c r="E976" s="1"/>
      <c r="F976" s="1"/>
      <c r="G976" s="2"/>
    </row>
    <row r="977">
      <c r="E977" s="1"/>
      <c r="F977" s="1"/>
      <c r="G977" s="2"/>
    </row>
    <row r="978">
      <c r="E978" s="1"/>
      <c r="F978" s="1"/>
      <c r="G978" s="2"/>
    </row>
    <row r="979">
      <c r="E979" s="1"/>
      <c r="F979" s="1"/>
      <c r="G979" s="2"/>
    </row>
    <row r="980">
      <c r="E980" s="1"/>
      <c r="F980" s="1"/>
      <c r="G980" s="2"/>
    </row>
    <row r="981">
      <c r="E981" s="1"/>
      <c r="F981" s="1"/>
      <c r="G981" s="2"/>
    </row>
    <row r="982">
      <c r="E982" s="1"/>
      <c r="F982" s="1"/>
      <c r="G982" s="2"/>
    </row>
    <row r="983">
      <c r="E983" s="1"/>
      <c r="F983" s="1"/>
      <c r="G983" s="2"/>
    </row>
    <row r="984">
      <c r="E984" s="1"/>
      <c r="F984" s="1"/>
      <c r="G984" s="2"/>
    </row>
    <row r="985">
      <c r="E985" s="1"/>
      <c r="F985" s="1"/>
      <c r="G985" s="2"/>
    </row>
    <row r="986">
      <c r="E986" s="1"/>
      <c r="F986" s="1"/>
      <c r="G986" s="2"/>
    </row>
    <row r="987">
      <c r="E987" s="1"/>
      <c r="F987" s="1"/>
      <c r="G987" s="2"/>
    </row>
    <row r="988">
      <c r="E988" s="1"/>
      <c r="F988" s="1"/>
      <c r="G988" s="2"/>
    </row>
    <row r="989">
      <c r="E989" s="1"/>
      <c r="F989" s="1"/>
      <c r="G989" s="2"/>
    </row>
    <row r="990">
      <c r="E990" s="1"/>
      <c r="F990" s="1"/>
      <c r="G990" s="2"/>
    </row>
    <row r="991">
      <c r="E991" s="1"/>
      <c r="F991" s="1"/>
      <c r="G991" s="2"/>
    </row>
    <row r="992">
      <c r="E992" s="1"/>
      <c r="F992" s="1"/>
      <c r="G992" s="2"/>
    </row>
    <row r="993">
      <c r="E993" s="1"/>
      <c r="F993" s="1"/>
      <c r="G993" s="2"/>
    </row>
    <row r="994">
      <c r="E994" s="1"/>
      <c r="F994" s="1"/>
      <c r="G994" s="2"/>
    </row>
    <row r="995">
      <c r="E995" s="1"/>
      <c r="F995" s="1"/>
      <c r="G995" s="2"/>
    </row>
    <row r="996">
      <c r="E996" s="1"/>
      <c r="F996" s="1"/>
      <c r="G996" s="2"/>
    </row>
    <row r="997">
      <c r="E997" s="1"/>
      <c r="F997" s="1"/>
      <c r="G997" s="2"/>
    </row>
    <row r="998">
      <c r="E998" s="1"/>
      <c r="F998" s="1"/>
      <c r="G998" s="2"/>
    </row>
    <row r="999">
      <c r="E999" s="1"/>
      <c r="F999" s="1"/>
      <c r="G999" s="2"/>
    </row>
    <row r="1000">
      <c r="E1000" s="1"/>
      <c r="F1000" s="1"/>
      <c r="G1000" s="2"/>
    </row>
    <row r="1001">
      <c r="E1001" s="1"/>
      <c r="F1001" s="1"/>
      <c r="G1001" s="2"/>
    </row>
    <row r="1002">
      <c r="E1002" s="1"/>
      <c r="F1002" s="1"/>
      <c r="G1002" s="2"/>
    </row>
    <row r="1003">
      <c r="E1003" s="1"/>
      <c r="F1003" s="1"/>
      <c r="G1003" s="2"/>
    </row>
    <row r="1004">
      <c r="E1004" s="1"/>
      <c r="F1004" s="1"/>
      <c r="G1004" s="2"/>
    </row>
    <row r="1005">
      <c r="E1005" s="1"/>
      <c r="F1005" s="1"/>
      <c r="G1005" s="2"/>
    </row>
  </sheetData>
  <conditionalFormatting sqref="J3:J140">
    <cfRule type="expression" dxfId="10" priority="1">
      <formula>$J3&gt;0</formula>
    </cfRule>
  </conditionalFormatting>
  <conditionalFormatting sqref="J3:J140">
    <cfRule type="expression" dxfId="11" priority="2">
      <formula>$J3&lt;0</formula>
    </cfRule>
  </conditionalFormatting>
  <conditionalFormatting sqref="A3:H140">
    <cfRule type="expression" dxfId="12" priority="3">
      <formula>$K3=0</formula>
    </cfRule>
  </conditionalFormatting>
  <conditionalFormatting sqref="A3:H140">
    <cfRule type="expression" dxfId="13" priority="4">
      <formula>$A3="Rateio Municipal"</formula>
    </cfRule>
  </conditionalFormatting>
  <conditionalFormatting sqref="A3:H140">
    <cfRule type="expression" dxfId="14" priority="5">
      <formula>$A3= "Juros e Aplicações"</formula>
    </cfRule>
  </conditionalFormatting>
  <conditionalFormatting sqref="A3:H140">
    <cfRule type="expression" dxfId="15" priority="6">
      <formula>$A3 = "Folha de Pagamento"</formula>
    </cfRule>
  </conditionalFormatting>
  <conditionalFormatting sqref="A3:H140">
    <cfRule type="expression" dxfId="16" priority="7">
      <formula>$A3 = "Aporte CIMMVI/AMVI"</formula>
    </cfRule>
  </conditionalFormatting>
  <conditionalFormatting sqref="A3:H140">
    <cfRule type="expression" dxfId="17" priority="8">
      <formula>$A3 = "Reembolso"</formula>
    </cfRule>
  </conditionalFormatting>
  <conditionalFormatting sqref="A3:H140">
    <cfRule type="expression" dxfId="18" priority="9">
      <formula> $A3= "Diária"</formula>
    </cfRule>
  </conditionalFormatting>
  <conditionalFormatting sqref="A3:H140">
    <cfRule type="expression" dxfId="19" priority="10">
      <formula> $A3 = "Serviços"</formula>
    </cfRule>
  </conditionalFormatting>
  <conditionalFormatting sqref="A3:H140">
    <cfRule type="expression" dxfId="20" priority="11">
      <formula>$A3 = "Licenciamento Ambiental"</formula>
    </cfRule>
  </conditionalFormatting>
  <conditionalFormatting sqref="A3:H140">
    <cfRule type="expression" dxfId="21" priority="12">
      <formula> $A3 = "FGTS"</formula>
    </cfRule>
  </conditionalFormatting>
  <conditionalFormatting sqref="A3:H140">
    <cfRule type="expression" dxfId="22" priority="13">
      <formula> $A3 = "Taxas Associativas"</formula>
    </cfRule>
  </conditionalFormatting>
  <conditionalFormatting sqref="A3:H140">
    <cfRule type="expression" dxfId="23" priority="14">
      <formula> $A3 = "Encargos Trabalhistas"</formula>
    </cfRule>
  </conditionalFormatting>
  <conditionalFormatting sqref="A3:G105 H3:H140 I3:I105">
    <cfRule type="expression" dxfId="24" priority="15">
      <formula>$A3 = "Saldo inicial"</formula>
    </cfRule>
  </conditionalFormatting>
  <conditionalFormatting sqref="A3:G105 H3:H140 I3:I105">
    <cfRule type="expression" dxfId="25" priority="16">
      <formula>$A3 = "Juros e Aplicações"</formula>
    </cfRule>
  </conditionalFormatting>
  <conditionalFormatting sqref="A3:G105 H3:H140 I3:I105">
    <cfRule type="expression" dxfId="26" priority="17">
      <formula>$A3 = "Rateio Municipal"</formula>
    </cfRule>
  </conditionalFormatting>
  <conditionalFormatting sqref="A3:G105 H3:H140 I3:I105">
    <cfRule type="expression" dxfId="27" priority="18">
      <formula>$A3 = "Encargos Trabalhistas"</formula>
    </cfRule>
  </conditionalFormatting>
  <conditionalFormatting sqref="A3:G105 H3:H140 I3:I105">
    <cfRule type="expression" dxfId="28" priority="19">
      <formula>$A3 = "FGTS"</formula>
    </cfRule>
  </conditionalFormatting>
  <conditionalFormatting sqref="A3:G105 H3:H140 I3:I105">
    <cfRule type="expression" dxfId="29" priority="20">
      <formula>$A3 = "Topografia"</formula>
    </cfRule>
  </conditionalFormatting>
  <conditionalFormatting sqref="A3:G105 H3:H140 I3:I105">
    <cfRule type="expression" dxfId="30" priority="21">
      <formula>$A3 = "Folha de Pagamento"</formula>
    </cfRule>
  </conditionalFormatting>
  <conditionalFormatting sqref="A3:G105 H3:H140 I3:I105">
    <cfRule type="expression" dxfId="31" priority="22">
      <formula>$A3 = "Devolução"</formula>
    </cfRule>
  </conditionalFormatting>
  <conditionalFormatting sqref="A3:G105 H3:H140 I3:I105">
    <cfRule type="expression" dxfId="32" priority="23">
      <formula>$A3 = "Rateio (transferência errada)"</formula>
    </cfRule>
  </conditionalFormatting>
  <conditionalFormatting sqref="A3:G105 H3:H140 I3:I105">
    <cfRule type="expression" dxfId="33" priority="24">
      <formula>$A3 = "Licenciamento Ambiental"</formula>
    </cfRule>
  </conditionalFormatting>
  <conditionalFormatting sqref="B40">
    <cfRule type="notContainsBlanks" dxfId="34" priority="25">
      <formula>LEN(TRIM(B40))&gt;0</formula>
    </cfRule>
  </conditionalFormatting>
  <conditionalFormatting sqref="A3:G105 H3:H140 I3:I105">
    <cfRule type="expression" dxfId="35" priority="26">
      <formula>$A3 = "Diária"</formula>
    </cfRule>
  </conditionalFormatting>
  <conditionalFormatting sqref="J3:J105">
    <cfRule type="expression" dxfId="36" priority="27">
      <formula>$J3 &gt;0</formula>
    </cfRule>
  </conditionalFormatting>
  <conditionalFormatting sqref="J3:J105">
    <cfRule type="expression" dxfId="37" priority="28">
      <formula>$J3 &lt; 0</formula>
    </cfRule>
  </conditionalFormatting>
  <conditionalFormatting sqref="K3:K140">
    <cfRule type="cellIs" dxfId="38" priority="29" operator="greaterThan">
      <formula>0</formula>
    </cfRule>
  </conditionalFormatting>
  <conditionalFormatting sqref="K3:K140">
    <cfRule type="cellIs" dxfId="39" priority="30" operator="lessThan">
      <formula>0</formula>
    </cfRule>
  </conditionalFormatting>
  <conditionalFormatting sqref="A2:I1005">
    <cfRule type="expression" dxfId="40" priority="31">
      <formula> $A2 = "DARF PASEP"</formula>
    </cfRule>
  </conditionalFormatting>
  <dataValidations>
    <dataValidation type="list" allowBlank="1" sqref="A3:A140">
      <formula1>"Saldo inicial,Juros e Aplicações,Rateio Municipal,Encargos Trabalhistas,FGTS,Folha de Pagamento,Topografia,Devolução,Rateio (transferência errada),Licenciamento Ambiental,Diária,Taxas Associativas,Serviços,Reembolso,DARF PASEP,Aporte CIMMVI/AMVI"</formula1>
    </dataValidation>
    <dataValidation type="list" allowBlank="1" sqref="I3:I140">
      <formula1>"Pix,Boleto,Não consta"</formula1>
    </dataValidation>
    <dataValidation type="custom" allowBlank="1" showDropDown="1" sqref="F3:F140">
      <formula1>AND(ISNUMBER(F3),(NOT(OR(NOT(ISERROR(DATEVALUE(F3))), AND(ISNUMBER(F3), LEFT(CELL("format", F3))="D")))))</formula1>
    </dataValidation>
    <dataValidation type="list" allowBlank="1" sqref="H3:H140">
      <formula1>"Pago,Aguardando Aprovação,Em aberto,Aprovado - Aguardando Pagamento,Pagamento Realizado - Aguardando autorização Margarete"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75"/>
  <cols>
    <col customWidth="1" min="1" max="1" width="42.78"/>
    <col customWidth="1" min="2" max="2" width="40.11"/>
    <col customWidth="1" min="3" max="3" width="13.78"/>
    <col customWidth="1" min="4" max="4" width="11.89"/>
    <col customWidth="1" min="5" max="5" width="10.89"/>
    <col customWidth="1" min="6" max="6" width="17.89"/>
    <col customWidth="1" min="7" max="7" width="20.11"/>
    <col customWidth="1" min="8" max="8" width="27.22"/>
  </cols>
  <sheetData>
    <row r="1" ht="23.25" customHeight="1">
      <c r="A1" s="5" t="s">
        <v>0</v>
      </c>
      <c r="B1" s="5" t="s">
        <v>2</v>
      </c>
      <c r="C1" s="5" t="s">
        <v>6</v>
      </c>
      <c r="D1" s="10" t="s">
        <v>7</v>
      </c>
      <c r="E1" s="5" t="s">
        <v>9</v>
      </c>
      <c r="F1" s="5" t="s">
        <v>11</v>
      </c>
      <c r="G1" s="14" t="s">
        <v>13</v>
      </c>
      <c r="H1" s="17" t="s">
        <v>16</v>
      </c>
      <c r="I1" s="16"/>
    </row>
    <row r="2">
      <c r="A2" s="21" t="s">
        <v>19</v>
      </c>
      <c r="B2" s="24" t="s">
        <v>22</v>
      </c>
      <c r="C2" s="26"/>
      <c r="D2" s="27">
        <v>46054.0</v>
      </c>
      <c r="E2" s="28" t="s">
        <v>25</v>
      </c>
      <c r="F2" s="29"/>
      <c r="G2" s="31">
        <v>425582.51</v>
      </c>
      <c r="H2" s="33">
        <f>G2</f>
        <v>425582.51</v>
      </c>
      <c r="I2" s="16"/>
    </row>
    <row r="3">
      <c r="A3" s="21" t="s">
        <v>41</v>
      </c>
      <c r="B3" s="24" t="s">
        <v>41</v>
      </c>
      <c r="C3" s="43"/>
      <c r="D3" s="27">
        <v>46058.0</v>
      </c>
      <c r="E3" s="28" t="s">
        <v>25</v>
      </c>
      <c r="F3" s="29"/>
      <c r="G3" s="31">
        <v>384.26</v>
      </c>
      <c r="H3" s="47">
        <f t="shared" ref="H3:H1107" si="1">H2+G3</f>
        <v>425966.77</v>
      </c>
      <c r="I3" s="16"/>
    </row>
    <row r="4">
      <c r="A4" s="49" t="s">
        <v>54</v>
      </c>
      <c r="B4" s="50" t="s">
        <v>55</v>
      </c>
      <c r="C4" s="52" t="s">
        <v>57</v>
      </c>
      <c r="D4" s="53">
        <v>46059.0</v>
      </c>
      <c r="E4" s="28" t="s">
        <v>25</v>
      </c>
      <c r="F4" s="21" t="s">
        <v>58</v>
      </c>
      <c r="G4" s="31">
        <v>6563.74</v>
      </c>
      <c r="H4" s="47">
        <f t="shared" si="1"/>
        <v>432530.51</v>
      </c>
      <c r="I4" s="16"/>
    </row>
    <row r="5">
      <c r="A5" s="49" t="s">
        <v>54</v>
      </c>
      <c r="B5" s="54" t="s">
        <v>55</v>
      </c>
      <c r="C5" s="55"/>
      <c r="D5" s="53">
        <v>46059.0</v>
      </c>
      <c r="E5" s="28" t="s">
        <v>25</v>
      </c>
      <c r="F5" s="56" t="s">
        <v>58</v>
      </c>
      <c r="G5" s="31">
        <v>-6563.74</v>
      </c>
      <c r="H5" s="47">
        <f t="shared" si="1"/>
        <v>425966.77</v>
      </c>
      <c r="I5" s="16"/>
    </row>
    <row r="6">
      <c r="A6" s="49" t="s">
        <v>41</v>
      </c>
      <c r="B6" s="57" t="s">
        <v>41</v>
      </c>
      <c r="C6" s="55"/>
      <c r="D6" s="53">
        <v>46059.0</v>
      </c>
      <c r="E6" s="28" t="s">
        <v>25</v>
      </c>
      <c r="F6" s="29"/>
      <c r="G6" s="31">
        <v>192.26</v>
      </c>
      <c r="H6" s="47">
        <f t="shared" si="1"/>
        <v>426159.03</v>
      </c>
      <c r="I6" s="16"/>
    </row>
    <row r="7">
      <c r="A7" s="21" t="s">
        <v>41</v>
      </c>
      <c r="B7" s="57" t="s">
        <v>41</v>
      </c>
      <c r="C7" s="43"/>
      <c r="D7" s="27">
        <v>46062.0</v>
      </c>
      <c r="E7" s="28" t="s">
        <v>25</v>
      </c>
      <c r="F7" s="29"/>
      <c r="G7" s="31">
        <v>383.12</v>
      </c>
      <c r="H7" s="47">
        <f t="shared" si="1"/>
        <v>426542.15</v>
      </c>
      <c r="I7" s="16"/>
    </row>
    <row r="8">
      <c r="A8" s="49" t="s">
        <v>41</v>
      </c>
      <c r="B8" s="57" t="s">
        <v>41</v>
      </c>
      <c r="C8" s="55"/>
      <c r="D8" s="53">
        <v>46063.0</v>
      </c>
      <c r="E8" s="28" t="s">
        <v>25</v>
      </c>
      <c r="F8" s="29"/>
      <c r="G8" s="31">
        <v>192.61</v>
      </c>
      <c r="H8" s="47">
        <f t="shared" si="1"/>
        <v>426734.76</v>
      </c>
      <c r="I8" s="46"/>
    </row>
    <row r="9">
      <c r="A9" s="49" t="s">
        <v>54</v>
      </c>
      <c r="B9" s="50" t="s">
        <v>72</v>
      </c>
      <c r="C9" s="61"/>
      <c r="D9" s="53">
        <v>46063.0</v>
      </c>
      <c r="E9" s="28" t="s">
        <v>25</v>
      </c>
      <c r="F9" s="21" t="s">
        <v>58</v>
      </c>
      <c r="G9" s="31">
        <v>3281.87</v>
      </c>
      <c r="H9" s="47">
        <f t="shared" si="1"/>
        <v>430016.63</v>
      </c>
      <c r="I9" s="16"/>
    </row>
    <row r="10">
      <c r="A10" s="49" t="s">
        <v>54</v>
      </c>
      <c r="B10" s="54" t="s">
        <v>75</v>
      </c>
      <c r="C10" s="55"/>
      <c r="D10" s="53">
        <v>46063.0</v>
      </c>
      <c r="E10" s="28" t="s">
        <v>25</v>
      </c>
      <c r="F10" s="56" t="s">
        <v>58</v>
      </c>
      <c r="G10" s="31">
        <v>-3281.87</v>
      </c>
      <c r="H10" s="47">
        <f t="shared" si="1"/>
        <v>426734.76</v>
      </c>
      <c r="I10" s="16"/>
    </row>
    <row r="11">
      <c r="A11" s="21" t="s">
        <v>54</v>
      </c>
      <c r="B11" s="57" t="s">
        <v>78</v>
      </c>
      <c r="C11" s="43"/>
      <c r="D11" s="27">
        <v>46072.0</v>
      </c>
      <c r="E11" s="28" t="s">
        <v>25</v>
      </c>
      <c r="F11" s="56" t="s">
        <v>58</v>
      </c>
      <c r="G11" s="31">
        <v>3281.87</v>
      </c>
      <c r="H11" s="47">
        <f t="shared" si="1"/>
        <v>430016.63</v>
      </c>
      <c r="I11" s="16"/>
    </row>
    <row r="12">
      <c r="A12" s="21" t="s">
        <v>54</v>
      </c>
      <c r="B12" s="64" t="s">
        <v>81</v>
      </c>
      <c r="C12" s="43"/>
      <c r="D12" s="27">
        <v>46072.0</v>
      </c>
      <c r="E12" s="28" t="s">
        <v>25</v>
      </c>
      <c r="F12" s="56" t="s">
        <v>58</v>
      </c>
      <c r="G12" s="31">
        <v>-3281.87</v>
      </c>
      <c r="H12" s="47">
        <f t="shared" si="1"/>
        <v>426734.76</v>
      </c>
      <c r="I12" s="16"/>
    </row>
    <row r="13">
      <c r="A13" s="49" t="s">
        <v>84</v>
      </c>
      <c r="B13" s="64" t="s">
        <v>86</v>
      </c>
      <c r="C13" s="61"/>
      <c r="D13" s="53">
        <v>46073.0</v>
      </c>
      <c r="E13" s="28" t="s">
        <v>25</v>
      </c>
      <c r="F13" s="65"/>
      <c r="G13" s="31">
        <v>-6780.4</v>
      </c>
      <c r="H13" s="47">
        <f t="shared" si="1"/>
        <v>419954.36</v>
      </c>
      <c r="I13" s="46"/>
    </row>
    <row r="14">
      <c r="A14" s="49" t="s">
        <v>88</v>
      </c>
      <c r="B14" s="64" t="s">
        <v>89</v>
      </c>
      <c r="C14" s="61"/>
      <c r="D14" s="53">
        <v>46073.0</v>
      </c>
      <c r="E14" s="28" t="s">
        <v>25</v>
      </c>
      <c r="F14" s="65"/>
      <c r="G14" s="31">
        <v>-1683.2</v>
      </c>
      <c r="H14" s="47">
        <f t="shared" si="1"/>
        <v>418271.16</v>
      </c>
      <c r="I14" s="16"/>
    </row>
    <row r="15">
      <c r="A15" s="49" t="s">
        <v>92</v>
      </c>
      <c r="B15" s="57" t="s">
        <v>93</v>
      </c>
      <c r="C15" s="55"/>
      <c r="D15" s="53">
        <v>46077.0</v>
      </c>
      <c r="E15" s="28" t="s">
        <v>25</v>
      </c>
      <c r="F15" s="29"/>
      <c r="G15" s="31">
        <v>36712.56</v>
      </c>
      <c r="H15" s="47">
        <f t="shared" si="1"/>
        <v>454983.72</v>
      </c>
      <c r="I15" s="16"/>
      <c r="J15" s="16"/>
    </row>
    <row r="16">
      <c r="A16" s="49" t="s">
        <v>41</v>
      </c>
      <c r="B16" s="57" t="s">
        <v>41</v>
      </c>
      <c r="C16" s="55"/>
      <c r="D16" s="53">
        <v>46079.0</v>
      </c>
      <c r="E16" s="28" t="s">
        <v>25</v>
      </c>
      <c r="F16" s="29"/>
      <c r="G16" s="31">
        <v>1655.51</v>
      </c>
      <c r="H16" s="47">
        <f t="shared" si="1"/>
        <v>456639.23</v>
      </c>
      <c r="I16" s="16"/>
      <c r="J16" s="16"/>
    </row>
    <row r="17">
      <c r="A17" s="75" t="s">
        <v>98</v>
      </c>
      <c r="B17" s="77" t="s">
        <v>99</v>
      </c>
      <c r="C17" s="79" t="s">
        <v>100</v>
      </c>
      <c r="D17" s="27">
        <v>46080.0</v>
      </c>
      <c r="E17" s="28" t="s">
        <v>25</v>
      </c>
      <c r="F17" s="56" t="s">
        <v>58</v>
      </c>
      <c r="G17" s="31">
        <v>-4814.87</v>
      </c>
      <c r="H17" s="47">
        <f t="shared" si="1"/>
        <v>451824.36</v>
      </c>
      <c r="I17" s="16"/>
      <c r="J17" s="16"/>
    </row>
    <row r="18">
      <c r="A18" s="75" t="s">
        <v>98</v>
      </c>
      <c r="B18" s="84" t="s">
        <v>103</v>
      </c>
      <c r="C18" s="79" t="s">
        <v>104</v>
      </c>
      <c r="D18" s="27">
        <v>46080.0</v>
      </c>
      <c r="E18" s="28" t="s">
        <v>25</v>
      </c>
      <c r="F18" s="56" t="s">
        <v>58</v>
      </c>
      <c r="G18" s="31">
        <v>-4814.87</v>
      </c>
      <c r="H18" s="47">
        <f t="shared" si="1"/>
        <v>447009.49</v>
      </c>
      <c r="I18" s="16"/>
      <c r="J18" s="16"/>
    </row>
    <row r="19">
      <c r="A19" s="75" t="s">
        <v>98</v>
      </c>
      <c r="B19" s="84" t="s">
        <v>106</v>
      </c>
      <c r="C19" s="86" t="s">
        <v>107</v>
      </c>
      <c r="D19" s="27">
        <v>46080.0</v>
      </c>
      <c r="E19" s="28" t="s">
        <v>25</v>
      </c>
      <c r="F19" s="56" t="s">
        <v>58</v>
      </c>
      <c r="G19" s="31">
        <v>-4814.87</v>
      </c>
      <c r="H19" s="47">
        <f t="shared" si="1"/>
        <v>442194.62</v>
      </c>
      <c r="I19" s="16"/>
      <c r="J19" s="16"/>
    </row>
    <row r="20">
      <c r="A20" s="21" t="s">
        <v>54</v>
      </c>
      <c r="B20" s="57" t="s">
        <v>110</v>
      </c>
      <c r="C20" s="43"/>
      <c r="D20" s="27">
        <v>46080.0</v>
      </c>
      <c r="E20" s="28" t="s">
        <v>25</v>
      </c>
      <c r="F20" s="56" t="s">
        <v>58</v>
      </c>
      <c r="G20" s="31">
        <v>18050.28</v>
      </c>
      <c r="H20" s="47">
        <f t="shared" si="1"/>
        <v>460244.9</v>
      </c>
      <c r="I20" s="16"/>
      <c r="J20" s="16"/>
    </row>
    <row r="21">
      <c r="A21" s="49" t="s">
        <v>54</v>
      </c>
      <c r="B21" s="64" t="s">
        <v>113</v>
      </c>
      <c r="C21" s="87" t="s">
        <v>114</v>
      </c>
      <c r="D21" s="88">
        <v>46085.0</v>
      </c>
      <c r="E21" s="28" t="s">
        <v>25</v>
      </c>
      <c r="F21" s="89" t="s">
        <v>58</v>
      </c>
      <c r="G21" s="31">
        <v>-18050.28</v>
      </c>
      <c r="H21" s="47">
        <f t="shared" si="1"/>
        <v>442194.62</v>
      </c>
      <c r="I21" s="81"/>
    </row>
    <row r="22">
      <c r="A22" s="49" t="s">
        <v>54</v>
      </c>
      <c r="B22" s="57" t="s">
        <v>116</v>
      </c>
      <c r="C22" s="61"/>
      <c r="D22" s="91">
        <v>46087.0</v>
      </c>
      <c r="E22" s="28" t="s">
        <v>25</v>
      </c>
      <c r="F22" s="93"/>
      <c r="G22" s="31">
        <v>3281.87</v>
      </c>
      <c r="H22" s="47">
        <f t="shared" si="1"/>
        <v>445476.49</v>
      </c>
      <c r="I22" s="67"/>
      <c r="J22" s="83"/>
    </row>
    <row r="23">
      <c r="A23" s="97" t="s">
        <v>54</v>
      </c>
      <c r="B23" s="57" t="s">
        <v>78</v>
      </c>
      <c r="C23" s="98"/>
      <c r="D23" s="88">
        <v>46091.0</v>
      </c>
      <c r="E23" s="28" t="s">
        <v>25</v>
      </c>
      <c r="F23" s="99"/>
      <c r="G23" s="31">
        <v>6563.74</v>
      </c>
      <c r="H23" s="47">
        <f t="shared" si="1"/>
        <v>452040.23</v>
      </c>
      <c r="I23" s="81"/>
    </row>
    <row r="24">
      <c r="A24" s="21" t="s">
        <v>54</v>
      </c>
      <c r="B24" s="57" t="s">
        <v>72</v>
      </c>
      <c r="C24" s="43"/>
      <c r="D24" s="101">
        <v>46092.0</v>
      </c>
      <c r="E24" s="28" t="s">
        <v>25</v>
      </c>
      <c r="F24" s="29"/>
      <c r="G24" s="31">
        <v>3281.87</v>
      </c>
      <c r="H24" s="47">
        <f t="shared" si="1"/>
        <v>455322.1</v>
      </c>
      <c r="I24" s="81"/>
    </row>
    <row r="25">
      <c r="A25" s="49" t="s">
        <v>92</v>
      </c>
      <c r="B25" s="57" t="s">
        <v>123</v>
      </c>
      <c r="C25" s="55"/>
      <c r="D25" s="88">
        <v>46093.0</v>
      </c>
      <c r="E25" s="28" t="s">
        <v>25</v>
      </c>
      <c r="F25" s="93"/>
      <c r="G25" s="31">
        <v>3163.2</v>
      </c>
      <c r="H25" s="47">
        <f t="shared" si="1"/>
        <v>458485.3</v>
      </c>
      <c r="I25" s="81"/>
    </row>
    <row r="26">
      <c r="A26" s="49" t="s">
        <v>126</v>
      </c>
      <c r="B26" s="64" t="s">
        <v>127</v>
      </c>
      <c r="C26" s="55"/>
      <c r="D26" s="88">
        <v>46093.0</v>
      </c>
      <c r="E26" s="28" t="s">
        <v>25</v>
      </c>
      <c r="F26" s="93"/>
      <c r="G26" s="31">
        <v>-3281.87</v>
      </c>
      <c r="H26" s="47">
        <f t="shared" si="1"/>
        <v>455203.43</v>
      </c>
      <c r="I26" s="81"/>
    </row>
    <row r="27">
      <c r="A27" s="21" t="s">
        <v>41</v>
      </c>
      <c r="B27" s="57" t="s">
        <v>41</v>
      </c>
      <c r="C27" s="43"/>
      <c r="D27" s="101">
        <v>46094.0</v>
      </c>
      <c r="E27" s="28" t="s">
        <v>25</v>
      </c>
      <c r="F27" s="29"/>
      <c r="G27" s="31">
        <v>2246.96</v>
      </c>
      <c r="H27" s="47">
        <f t="shared" si="1"/>
        <v>457450.39</v>
      </c>
      <c r="I27" s="81"/>
    </row>
    <row r="28">
      <c r="A28" s="21" t="s">
        <v>133</v>
      </c>
      <c r="B28" s="64" t="s">
        <v>135</v>
      </c>
      <c r="C28" s="43"/>
      <c r="D28" s="101">
        <v>46094.0</v>
      </c>
      <c r="E28" s="28" t="s">
        <v>25</v>
      </c>
      <c r="F28" s="29"/>
      <c r="G28" s="31">
        <v>-3281.87</v>
      </c>
      <c r="H28" s="47">
        <f t="shared" si="1"/>
        <v>454168.52</v>
      </c>
      <c r="I28" s="81"/>
    </row>
    <row r="29">
      <c r="A29" s="21" t="s">
        <v>133</v>
      </c>
      <c r="B29" s="64" t="s">
        <v>142</v>
      </c>
      <c r="C29" s="43"/>
      <c r="D29" s="101">
        <v>46094.0</v>
      </c>
      <c r="E29" s="28" t="s">
        <v>25</v>
      </c>
      <c r="F29" s="29"/>
      <c r="G29" s="31">
        <v>-6563.74</v>
      </c>
      <c r="H29" s="47">
        <f t="shared" si="1"/>
        <v>447604.78</v>
      </c>
      <c r="I29" s="81"/>
    </row>
    <row r="30">
      <c r="A30" s="21" t="s">
        <v>84</v>
      </c>
      <c r="B30" s="64" t="s">
        <v>86</v>
      </c>
      <c r="C30" s="43"/>
      <c r="D30" s="101">
        <v>46100.0</v>
      </c>
      <c r="E30" s="28" t="s">
        <v>25</v>
      </c>
      <c r="F30" s="29"/>
      <c r="G30" s="31">
        <v>-6435.88</v>
      </c>
      <c r="H30" s="47">
        <f t="shared" si="1"/>
        <v>441168.9</v>
      </c>
      <c r="I30" s="81"/>
    </row>
    <row r="31">
      <c r="A31" s="21" t="s">
        <v>88</v>
      </c>
      <c r="B31" s="64" t="s">
        <v>147</v>
      </c>
      <c r="C31" s="43"/>
      <c r="D31" s="101">
        <v>46100.0</v>
      </c>
      <c r="E31" s="28" t="s">
        <v>25</v>
      </c>
      <c r="F31" s="29"/>
      <c r="G31" s="31">
        <v>-1586.68</v>
      </c>
      <c r="H31" s="47">
        <f t="shared" si="1"/>
        <v>439582.22</v>
      </c>
      <c r="I31" s="81"/>
    </row>
    <row r="32">
      <c r="A32" s="49" t="s">
        <v>41</v>
      </c>
      <c r="B32" s="57" t="s">
        <v>41</v>
      </c>
      <c r="C32" s="55"/>
      <c r="D32" s="88">
        <v>46107.0</v>
      </c>
      <c r="E32" s="28" t="s">
        <v>25</v>
      </c>
      <c r="F32" s="29"/>
      <c r="G32" s="31">
        <v>1712.74</v>
      </c>
      <c r="H32" s="47">
        <f t="shared" si="1"/>
        <v>441294.96</v>
      </c>
      <c r="I32" s="81"/>
      <c r="J32" s="81"/>
    </row>
    <row r="33">
      <c r="A33" s="49" t="s">
        <v>151</v>
      </c>
      <c r="B33" s="57" t="s">
        <v>152</v>
      </c>
      <c r="C33" s="55"/>
      <c r="D33" s="88">
        <v>46107.0</v>
      </c>
      <c r="E33" s="28" t="s">
        <v>25</v>
      </c>
      <c r="F33" s="29"/>
      <c r="G33" s="31">
        <v>14123.0</v>
      </c>
      <c r="H33" s="47">
        <f t="shared" si="1"/>
        <v>455417.96</v>
      </c>
      <c r="I33" s="81"/>
      <c r="J33" s="81"/>
    </row>
    <row r="34">
      <c r="A34" s="75" t="s">
        <v>98</v>
      </c>
      <c r="B34" s="77" t="s">
        <v>99</v>
      </c>
      <c r="C34" s="79" t="s">
        <v>100</v>
      </c>
      <c r="D34" s="101">
        <v>46112.0</v>
      </c>
      <c r="E34" s="28" t="s">
        <v>25</v>
      </c>
      <c r="F34" s="29"/>
      <c r="G34" s="31">
        <v>-4722.24</v>
      </c>
      <c r="H34" s="47">
        <f t="shared" si="1"/>
        <v>450695.72</v>
      </c>
      <c r="I34" s="81"/>
      <c r="J34" s="81"/>
    </row>
    <row r="35">
      <c r="A35" s="75" t="s">
        <v>98</v>
      </c>
      <c r="B35" s="84" t="s">
        <v>103</v>
      </c>
      <c r="C35" s="79" t="s">
        <v>104</v>
      </c>
      <c r="D35" s="101">
        <v>46112.0</v>
      </c>
      <c r="E35" s="28" t="s">
        <v>25</v>
      </c>
      <c r="F35" s="29"/>
      <c r="G35" s="31">
        <v>-4722.24</v>
      </c>
      <c r="H35" s="47">
        <f t="shared" si="1"/>
        <v>445973.48</v>
      </c>
      <c r="I35" s="81"/>
      <c r="J35" s="81"/>
    </row>
    <row r="36">
      <c r="A36" s="75" t="s">
        <v>98</v>
      </c>
      <c r="B36" s="84" t="s">
        <v>106</v>
      </c>
      <c r="C36" s="86" t="s">
        <v>107</v>
      </c>
      <c r="D36" s="101">
        <v>46112.0</v>
      </c>
      <c r="E36" s="28" t="s">
        <v>25</v>
      </c>
      <c r="F36" s="29"/>
      <c r="G36" s="31">
        <v>-4722.24</v>
      </c>
      <c r="H36" s="47">
        <f t="shared" si="1"/>
        <v>441251.24</v>
      </c>
      <c r="I36" s="81"/>
      <c r="J36" s="81"/>
    </row>
    <row r="37">
      <c r="A37" s="75" t="s">
        <v>98</v>
      </c>
      <c r="B37" s="77" t="s">
        <v>159</v>
      </c>
      <c r="C37" s="112" t="s">
        <v>160</v>
      </c>
      <c r="D37" s="101">
        <v>46112.0</v>
      </c>
      <c r="E37" s="28" t="s">
        <v>25</v>
      </c>
      <c r="F37" s="29"/>
      <c r="G37" s="31">
        <v>-4639.91</v>
      </c>
      <c r="H37" s="47">
        <f t="shared" si="1"/>
        <v>436611.33</v>
      </c>
      <c r="I37" s="81"/>
      <c r="J37" s="81"/>
    </row>
    <row r="38">
      <c r="A38" s="21" t="s">
        <v>126</v>
      </c>
      <c r="B38" s="64" t="s">
        <v>162</v>
      </c>
      <c r="C38" s="112" t="s">
        <v>160</v>
      </c>
      <c r="D38" s="101">
        <v>46112.0</v>
      </c>
      <c r="E38" s="28" t="s">
        <v>25</v>
      </c>
      <c r="F38" s="29"/>
      <c r="G38" s="31">
        <v>-50.0</v>
      </c>
      <c r="H38" s="47">
        <f t="shared" si="1"/>
        <v>436561.33</v>
      </c>
      <c r="I38" s="81"/>
      <c r="J38" s="81"/>
    </row>
    <row r="39">
      <c r="A39" s="49" t="s">
        <v>54</v>
      </c>
      <c r="B39" s="57" t="s">
        <v>163</v>
      </c>
      <c r="C39" s="55"/>
      <c r="D39" s="88">
        <v>46119.0</v>
      </c>
      <c r="E39" s="28" t="s">
        <v>25</v>
      </c>
      <c r="F39" s="29"/>
      <c r="G39" s="31">
        <v>3281.87</v>
      </c>
      <c r="H39" s="47">
        <f t="shared" si="1"/>
        <v>439843.2</v>
      </c>
      <c r="I39" s="81"/>
      <c r="J39" s="81"/>
    </row>
    <row r="40">
      <c r="A40" s="21" t="s">
        <v>54</v>
      </c>
      <c r="B40" s="57" t="s">
        <v>165</v>
      </c>
      <c r="C40" s="43"/>
      <c r="D40" s="101">
        <v>46120.0</v>
      </c>
      <c r="E40" s="28" t="s">
        <v>25</v>
      </c>
      <c r="F40" s="29"/>
      <c r="G40" s="31">
        <v>9025.14</v>
      </c>
      <c r="H40" s="47">
        <f t="shared" si="1"/>
        <v>448868.34</v>
      </c>
      <c r="I40" s="81"/>
      <c r="J40" s="81"/>
    </row>
    <row r="41">
      <c r="A41" s="49" t="s">
        <v>54</v>
      </c>
      <c r="B41" s="64" t="s">
        <v>163</v>
      </c>
      <c r="C41" s="55"/>
      <c r="D41" s="88">
        <v>46121.0</v>
      </c>
      <c r="E41" s="28" t="s">
        <v>25</v>
      </c>
      <c r="F41" s="118"/>
      <c r="G41" s="31">
        <v>-3281.87</v>
      </c>
      <c r="H41" s="47">
        <f t="shared" si="1"/>
        <v>445586.47</v>
      </c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</row>
    <row r="42">
      <c r="A42" s="49" t="s">
        <v>54</v>
      </c>
      <c r="B42" s="64" t="s">
        <v>165</v>
      </c>
      <c r="C42" s="55"/>
      <c r="D42" s="88">
        <v>46121.0</v>
      </c>
      <c r="E42" s="28" t="s">
        <v>25</v>
      </c>
      <c r="F42" s="118"/>
      <c r="G42" s="31">
        <v>-9025.14</v>
      </c>
      <c r="H42" s="47">
        <f t="shared" si="1"/>
        <v>436561.33</v>
      </c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</row>
    <row r="43">
      <c r="A43" s="21" t="s">
        <v>88</v>
      </c>
      <c r="B43" s="64" t="s">
        <v>173</v>
      </c>
      <c r="C43" s="43"/>
      <c r="D43" s="101">
        <v>46122.0</v>
      </c>
      <c r="E43" s="28" t="s">
        <v>25</v>
      </c>
      <c r="F43" s="29"/>
      <c r="G43" s="31">
        <v>-1331.6</v>
      </c>
      <c r="H43" s="47">
        <f t="shared" si="1"/>
        <v>435229.73</v>
      </c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</row>
    <row r="44">
      <c r="A44" s="21" t="s">
        <v>84</v>
      </c>
      <c r="B44" s="64" t="s">
        <v>86</v>
      </c>
      <c r="C44" s="43"/>
      <c r="D44" s="101">
        <v>46122.0</v>
      </c>
      <c r="E44" s="28" t="s">
        <v>25</v>
      </c>
      <c r="F44" s="29"/>
      <c r="G44" s="31">
        <v>-5306.71</v>
      </c>
      <c r="H44" s="47">
        <f t="shared" si="1"/>
        <v>429923.02</v>
      </c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</row>
    <row r="45">
      <c r="A45" s="21" t="s">
        <v>54</v>
      </c>
      <c r="B45" s="57" t="s">
        <v>165</v>
      </c>
      <c r="C45" s="43"/>
      <c r="D45" s="101">
        <v>46126.0</v>
      </c>
      <c r="E45" s="28" t="s">
        <v>25</v>
      </c>
      <c r="F45" s="29"/>
      <c r="G45" s="31">
        <v>9025.14</v>
      </c>
      <c r="H45" s="47">
        <f t="shared" si="1"/>
        <v>438948.16</v>
      </c>
      <c r="I45" s="81"/>
    </row>
    <row r="46">
      <c r="A46" s="21" t="s">
        <v>151</v>
      </c>
      <c r="B46" s="57" t="s">
        <v>182</v>
      </c>
      <c r="C46" s="43"/>
      <c r="D46" s="101">
        <v>46128.0</v>
      </c>
      <c r="E46" s="28" t="s">
        <v>25</v>
      </c>
      <c r="F46" s="29"/>
      <c r="G46" s="31">
        <v>3163.2</v>
      </c>
      <c r="H46" s="47">
        <f t="shared" si="1"/>
        <v>442111.36</v>
      </c>
      <c r="I46" s="81"/>
    </row>
    <row r="47">
      <c r="A47" s="49" t="s">
        <v>54</v>
      </c>
      <c r="B47" s="64" t="s">
        <v>185</v>
      </c>
      <c r="C47" s="55"/>
      <c r="D47" s="88">
        <v>46129.0</v>
      </c>
      <c r="E47" s="28" t="s">
        <v>25</v>
      </c>
      <c r="F47" s="29"/>
      <c r="G47" s="31">
        <v>-9025.14</v>
      </c>
      <c r="H47" s="47">
        <f t="shared" si="1"/>
        <v>433086.22</v>
      </c>
      <c r="I47" s="81"/>
    </row>
    <row r="48">
      <c r="A48" s="124"/>
      <c r="B48" s="64" t="s">
        <v>186</v>
      </c>
      <c r="C48" s="55"/>
      <c r="D48" s="88">
        <v>46129.0</v>
      </c>
      <c r="E48" s="28" t="s">
        <v>25</v>
      </c>
      <c r="F48" s="29"/>
      <c r="G48" s="31">
        <v>-398.65</v>
      </c>
      <c r="H48" s="47">
        <f t="shared" si="1"/>
        <v>432687.57</v>
      </c>
      <c r="I48" s="81"/>
    </row>
    <row r="49">
      <c r="A49" s="21" t="s">
        <v>151</v>
      </c>
      <c r="B49" s="57" t="s">
        <v>188</v>
      </c>
      <c r="C49" s="43"/>
      <c r="D49" s="101">
        <v>46136.0</v>
      </c>
      <c r="E49" s="28" t="s">
        <v>25</v>
      </c>
      <c r="F49" s="29"/>
      <c r="G49" s="31">
        <v>14123.0</v>
      </c>
      <c r="H49" s="47">
        <f t="shared" si="1"/>
        <v>446810.57</v>
      </c>
      <c r="I49" s="81"/>
    </row>
    <row r="50">
      <c r="A50" s="129"/>
      <c r="B50" s="64" t="s">
        <v>190</v>
      </c>
      <c r="C50" s="43"/>
      <c r="D50" s="101">
        <v>46136.0</v>
      </c>
      <c r="E50" s="28" t="s">
        <v>25</v>
      </c>
      <c r="F50" s="29"/>
      <c r="G50" s="31">
        <v>-172.86</v>
      </c>
      <c r="H50" s="47">
        <f t="shared" si="1"/>
        <v>446637.71</v>
      </c>
      <c r="I50" s="81"/>
    </row>
    <row r="51">
      <c r="A51" s="75" t="s">
        <v>98</v>
      </c>
      <c r="B51" s="77" t="s">
        <v>99</v>
      </c>
      <c r="C51" s="79" t="s">
        <v>100</v>
      </c>
      <c r="D51" s="101">
        <v>46142.0</v>
      </c>
      <c r="E51" s="28" t="s">
        <v>25</v>
      </c>
      <c r="F51" s="56" t="s">
        <v>58</v>
      </c>
      <c r="G51" s="31">
        <v>-4722.24</v>
      </c>
      <c r="H51" s="47">
        <f t="shared" si="1"/>
        <v>441915.47</v>
      </c>
      <c r="I51" s="81"/>
    </row>
    <row r="52">
      <c r="A52" s="75" t="s">
        <v>98</v>
      </c>
      <c r="B52" s="84" t="s">
        <v>103</v>
      </c>
      <c r="C52" s="79" t="s">
        <v>104</v>
      </c>
      <c r="D52" s="101">
        <v>46142.0</v>
      </c>
      <c r="E52" s="28" t="s">
        <v>25</v>
      </c>
      <c r="F52" s="56" t="s">
        <v>58</v>
      </c>
      <c r="G52" s="31">
        <v>-4722.24</v>
      </c>
      <c r="H52" s="47">
        <f t="shared" si="1"/>
        <v>437193.23</v>
      </c>
      <c r="I52" s="81"/>
    </row>
    <row r="53">
      <c r="A53" s="75" t="s">
        <v>98</v>
      </c>
      <c r="B53" s="84" t="s">
        <v>106</v>
      </c>
      <c r="C53" s="86" t="s">
        <v>107</v>
      </c>
      <c r="D53" s="101">
        <v>46142.0</v>
      </c>
      <c r="E53" s="28" t="s">
        <v>25</v>
      </c>
      <c r="F53" s="56" t="s">
        <v>58</v>
      </c>
      <c r="G53" s="31">
        <v>-4722.24</v>
      </c>
      <c r="H53" s="47">
        <f t="shared" si="1"/>
        <v>432470.99</v>
      </c>
      <c r="I53" s="81"/>
    </row>
    <row r="54">
      <c r="A54" s="75" t="s">
        <v>98</v>
      </c>
      <c r="B54" s="77" t="s">
        <v>159</v>
      </c>
      <c r="C54" s="112" t="s">
        <v>160</v>
      </c>
      <c r="D54" s="101">
        <v>46142.0</v>
      </c>
      <c r="E54" s="28" t="s">
        <v>25</v>
      </c>
      <c r="F54" s="56" t="s">
        <v>58</v>
      </c>
      <c r="G54" s="31">
        <v>-4722.24</v>
      </c>
      <c r="H54" s="47">
        <f t="shared" si="1"/>
        <v>427748.75</v>
      </c>
      <c r="I54" s="81"/>
    </row>
    <row r="55">
      <c r="A55" s="21" t="s">
        <v>176</v>
      </c>
      <c r="B55" s="64" t="s">
        <v>197</v>
      </c>
      <c r="C55" s="43"/>
      <c r="D55" s="101">
        <v>46146.0</v>
      </c>
      <c r="E55" s="28" t="s">
        <v>25</v>
      </c>
      <c r="F55" s="29"/>
      <c r="G55" s="31">
        <v>-949.8</v>
      </c>
      <c r="H55" s="47">
        <f t="shared" si="1"/>
        <v>426798.95</v>
      </c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</row>
    <row r="56">
      <c r="A56" s="21" t="s">
        <v>176</v>
      </c>
      <c r="B56" s="64" t="s">
        <v>198</v>
      </c>
      <c r="C56" s="43"/>
      <c r="D56" s="101">
        <v>46146.0</v>
      </c>
      <c r="E56" s="28" t="s">
        <v>25</v>
      </c>
      <c r="F56" s="29"/>
      <c r="G56" s="31">
        <v>-750.0</v>
      </c>
      <c r="H56" s="47">
        <f t="shared" si="1"/>
        <v>426048.95</v>
      </c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</row>
    <row r="57">
      <c r="A57" s="49" t="s">
        <v>41</v>
      </c>
      <c r="B57" s="57" t="s">
        <v>41</v>
      </c>
      <c r="C57" s="55"/>
      <c r="D57" s="88">
        <v>46149.0</v>
      </c>
      <c r="E57" s="28" t="s">
        <v>25</v>
      </c>
      <c r="F57" s="29"/>
      <c r="G57" s="31">
        <v>5163.56</v>
      </c>
      <c r="H57" s="47">
        <f t="shared" si="1"/>
        <v>431212.51</v>
      </c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</row>
    <row r="58">
      <c r="A58" s="49" t="s">
        <v>151</v>
      </c>
      <c r="B58" s="57" t="s">
        <v>182</v>
      </c>
      <c r="C58" s="55"/>
      <c r="D58" s="88">
        <v>46149.0</v>
      </c>
      <c r="E58" s="28" t="s">
        <v>25</v>
      </c>
      <c r="F58" s="29"/>
      <c r="G58" s="31">
        <v>3163.2</v>
      </c>
      <c r="H58" s="47">
        <f t="shared" si="1"/>
        <v>434375.71</v>
      </c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</row>
    <row r="59">
      <c r="A59" s="49" t="s">
        <v>54</v>
      </c>
      <c r="B59" s="57" t="s">
        <v>201</v>
      </c>
      <c r="C59" s="137"/>
      <c r="D59" s="88">
        <v>46153.0</v>
      </c>
      <c r="E59" s="28" t="s">
        <v>25</v>
      </c>
      <c r="F59" s="118"/>
      <c r="G59" s="31">
        <v>3281.87</v>
      </c>
      <c r="H59" s="47">
        <f t="shared" si="1"/>
        <v>437657.58</v>
      </c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</row>
    <row r="60">
      <c r="A60" s="49" t="s">
        <v>54</v>
      </c>
      <c r="B60" s="57" t="s">
        <v>72</v>
      </c>
      <c r="C60" s="137"/>
      <c r="D60" s="88">
        <v>46153.0</v>
      </c>
      <c r="E60" s="28" t="s">
        <v>25</v>
      </c>
      <c r="F60" s="118"/>
      <c r="G60" s="31">
        <v>3281.87</v>
      </c>
      <c r="H60" s="47">
        <f t="shared" si="1"/>
        <v>440939.45</v>
      </c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</row>
    <row r="61">
      <c r="A61" s="49" t="s">
        <v>54</v>
      </c>
      <c r="B61" s="57" t="s">
        <v>110</v>
      </c>
      <c r="C61" s="137"/>
      <c r="D61" s="88">
        <v>46153.0</v>
      </c>
      <c r="E61" s="28" t="s">
        <v>25</v>
      </c>
      <c r="F61" s="118"/>
      <c r="G61" s="31">
        <v>9025.14</v>
      </c>
      <c r="H61" s="47">
        <f t="shared" si="1"/>
        <v>449964.59</v>
      </c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</row>
    <row r="62">
      <c r="A62" s="49" t="s">
        <v>84</v>
      </c>
      <c r="B62" s="64" t="s">
        <v>86</v>
      </c>
      <c r="C62" s="137"/>
      <c r="D62" s="88">
        <v>46153.0</v>
      </c>
      <c r="E62" s="28" t="s">
        <v>25</v>
      </c>
      <c r="F62" s="118"/>
      <c r="G62" s="31">
        <v>-7075.62</v>
      </c>
      <c r="H62" s="47">
        <f t="shared" si="1"/>
        <v>442888.97</v>
      </c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</row>
    <row r="63">
      <c r="A63" s="49" t="s">
        <v>88</v>
      </c>
      <c r="B63" s="64" t="s">
        <v>204</v>
      </c>
      <c r="C63" s="137"/>
      <c r="D63" s="88">
        <v>46153.0</v>
      </c>
      <c r="E63" s="28" t="s">
        <v>25</v>
      </c>
      <c r="F63" s="118"/>
      <c r="G63" s="31">
        <v>-1748.8</v>
      </c>
      <c r="H63" s="47">
        <f t="shared" si="1"/>
        <v>441140.17</v>
      </c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</row>
    <row r="64">
      <c r="A64" s="49" t="s">
        <v>133</v>
      </c>
      <c r="B64" s="64" t="s">
        <v>205</v>
      </c>
      <c r="C64" s="139"/>
      <c r="D64" s="88">
        <v>46153.0</v>
      </c>
      <c r="E64" s="28" t="s">
        <v>25</v>
      </c>
      <c r="F64" s="29"/>
      <c r="G64" s="31">
        <v>-15588.88</v>
      </c>
      <c r="H64" s="47">
        <f t="shared" si="1"/>
        <v>425551.29</v>
      </c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</row>
    <row r="65">
      <c r="A65" s="21" t="s">
        <v>54</v>
      </c>
      <c r="B65" s="57" t="s">
        <v>78</v>
      </c>
      <c r="C65" s="139"/>
      <c r="D65" s="101">
        <v>46154.0</v>
      </c>
      <c r="E65" s="28" t="s">
        <v>25</v>
      </c>
      <c r="F65" s="29"/>
      <c r="G65" s="31">
        <v>3281.87</v>
      </c>
      <c r="H65" s="47">
        <f t="shared" si="1"/>
        <v>428833.16</v>
      </c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</row>
    <row r="66">
      <c r="A66" s="21" t="s">
        <v>54</v>
      </c>
      <c r="B66" s="57" t="s">
        <v>208</v>
      </c>
      <c r="C66" s="139"/>
      <c r="D66" s="101">
        <v>46154.0</v>
      </c>
      <c r="E66" s="28" t="s">
        <v>25</v>
      </c>
      <c r="F66" s="29"/>
      <c r="G66" s="31">
        <v>2461.4</v>
      </c>
      <c r="H66" s="47">
        <f t="shared" si="1"/>
        <v>431294.56</v>
      </c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</row>
    <row r="67">
      <c r="A67" s="124"/>
      <c r="B67" s="140" t="s">
        <v>186</v>
      </c>
      <c r="C67" s="137"/>
      <c r="D67" s="88">
        <v>46159.0</v>
      </c>
      <c r="E67" s="28" t="s">
        <v>25</v>
      </c>
      <c r="F67" s="118"/>
      <c r="G67" s="31">
        <v>0.0</v>
      </c>
      <c r="H67" s="47">
        <f t="shared" si="1"/>
        <v>431294.56</v>
      </c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</row>
    <row r="68">
      <c r="A68" s="21" t="s">
        <v>133</v>
      </c>
      <c r="B68" s="64" t="s">
        <v>209</v>
      </c>
      <c r="C68" s="139"/>
      <c r="D68" s="101">
        <v>46160.0</v>
      </c>
      <c r="E68" s="28" t="s">
        <v>25</v>
      </c>
      <c r="F68" s="29"/>
      <c r="G68" s="31">
        <v>-5743.27</v>
      </c>
      <c r="H68" s="47">
        <f t="shared" si="1"/>
        <v>425551.29</v>
      </c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</row>
    <row r="69">
      <c r="A69" s="21" t="s">
        <v>41</v>
      </c>
      <c r="B69" s="57" t="s">
        <v>41</v>
      </c>
      <c r="C69" s="139"/>
      <c r="D69" s="101">
        <v>46164.0</v>
      </c>
      <c r="E69" s="28" t="s">
        <v>25</v>
      </c>
      <c r="F69" s="29"/>
      <c r="G69" s="31">
        <v>2057.4</v>
      </c>
      <c r="H69" s="47">
        <f t="shared" si="1"/>
        <v>427608.69</v>
      </c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</row>
    <row r="70">
      <c r="A70" s="129"/>
      <c r="B70" s="64" t="s">
        <v>186</v>
      </c>
      <c r="C70" s="139"/>
      <c r="D70" s="101">
        <v>46164.0</v>
      </c>
      <c r="E70" s="28" t="s">
        <v>25</v>
      </c>
      <c r="F70" s="29"/>
      <c r="G70" s="31">
        <v>-174.86</v>
      </c>
      <c r="H70" s="47">
        <f t="shared" si="1"/>
        <v>427433.83</v>
      </c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</row>
    <row r="71">
      <c r="A71" s="124"/>
      <c r="B71" s="64" t="s">
        <v>213</v>
      </c>
      <c r="C71" s="139"/>
      <c r="D71" s="88">
        <v>46167.0</v>
      </c>
      <c r="E71" s="28" t="s">
        <v>25</v>
      </c>
      <c r="F71" s="118"/>
      <c r="G71" s="31">
        <v>-330.0</v>
      </c>
      <c r="H71" s="47">
        <f t="shared" si="1"/>
        <v>427103.83</v>
      </c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</row>
    <row r="72">
      <c r="A72" s="141" t="s">
        <v>98</v>
      </c>
      <c r="B72" s="77" t="s">
        <v>99</v>
      </c>
      <c r="C72" s="79" t="s">
        <v>100</v>
      </c>
      <c r="D72" s="88">
        <v>46171.0</v>
      </c>
      <c r="E72" s="28" t="s">
        <v>25</v>
      </c>
      <c r="F72" s="89" t="s">
        <v>58</v>
      </c>
      <c r="G72" s="31">
        <v>-4722.24</v>
      </c>
      <c r="H72" s="47">
        <f t="shared" si="1"/>
        <v>422381.59</v>
      </c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</row>
    <row r="73">
      <c r="A73" s="141" t="s">
        <v>98</v>
      </c>
      <c r="B73" s="84" t="s">
        <v>103</v>
      </c>
      <c r="C73" s="79" t="s">
        <v>104</v>
      </c>
      <c r="D73" s="88">
        <v>46171.0</v>
      </c>
      <c r="E73" s="28" t="s">
        <v>25</v>
      </c>
      <c r="F73" s="89" t="s">
        <v>58</v>
      </c>
      <c r="G73" s="31">
        <v>-4722.24</v>
      </c>
      <c r="H73" s="47">
        <f t="shared" si="1"/>
        <v>417659.35</v>
      </c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</row>
    <row r="74">
      <c r="A74" s="141" t="s">
        <v>98</v>
      </c>
      <c r="B74" s="84" t="s">
        <v>106</v>
      </c>
      <c r="C74" s="86" t="s">
        <v>107</v>
      </c>
      <c r="D74" s="88">
        <v>46171.0</v>
      </c>
      <c r="E74" s="28" t="s">
        <v>25</v>
      </c>
      <c r="F74" s="89" t="s">
        <v>58</v>
      </c>
      <c r="G74" s="31">
        <v>-4722.24</v>
      </c>
      <c r="H74" s="47">
        <f t="shared" si="1"/>
        <v>412937.11</v>
      </c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</row>
    <row r="75">
      <c r="A75" s="141" t="s">
        <v>98</v>
      </c>
      <c r="B75" s="84" t="s">
        <v>217</v>
      </c>
      <c r="C75" s="112" t="s">
        <v>160</v>
      </c>
      <c r="D75" s="88">
        <v>46171.0</v>
      </c>
      <c r="E75" s="28" t="s">
        <v>25</v>
      </c>
      <c r="F75" s="89" t="s">
        <v>58</v>
      </c>
      <c r="G75" s="31">
        <v>-4722.24</v>
      </c>
      <c r="H75" s="47">
        <f t="shared" si="1"/>
        <v>408214.87</v>
      </c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</row>
    <row r="76">
      <c r="A76" s="21" t="s">
        <v>151</v>
      </c>
      <c r="B76" s="57" t="s">
        <v>152</v>
      </c>
      <c r="C76" s="139"/>
      <c r="D76" s="101">
        <v>46174.0</v>
      </c>
      <c r="E76" s="28" t="s">
        <v>25</v>
      </c>
      <c r="F76" s="29"/>
      <c r="G76" s="31">
        <v>14123.0</v>
      </c>
      <c r="H76" s="47">
        <f t="shared" si="1"/>
        <v>422337.87</v>
      </c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</row>
    <row r="77">
      <c r="A77" s="49" t="s">
        <v>151</v>
      </c>
      <c r="B77" s="57" t="s">
        <v>219</v>
      </c>
      <c r="C77" s="137"/>
      <c r="D77" s="88">
        <v>46175.0</v>
      </c>
      <c r="E77" s="142" t="s">
        <v>25</v>
      </c>
      <c r="F77" s="118"/>
      <c r="G77" s="31">
        <v>2049.39</v>
      </c>
      <c r="H77" s="47">
        <f t="shared" si="1"/>
        <v>424387.26</v>
      </c>
      <c r="I77" s="81"/>
    </row>
    <row r="78">
      <c r="A78" s="49" t="s">
        <v>54</v>
      </c>
      <c r="B78" s="57" t="s">
        <v>72</v>
      </c>
      <c r="C78" s="55"/>
      <c r="D78" s="88">
        <v>46181.0</v>
      </c>
      <c r="E78" s="142" t="s">
        <v>25</v>
      </c>
      <c r="F78" s="118"/>
      <c r="G78" s="31">
        <v>3281.87</v>
      </c>
      <c r="H78" s="47">
        <f t="shared" si="1"/>
        <v>427669.13</v>
      </c>
      <c r="I78" s="81"/>
    </row>
    <row r="79">
      <c r="A79" s="21" t="s">
        <v>151</v>
      </c>
      <c r="B79" s="57" t="s">
        <v>219</v>
      </c>
      <c r="C79" s="43"/>
      <c r="D79" s="101">
        <v>46182.0</v>
      </c>
      <c r="E79" s="28" t="s">
        <v>25</v>
      </c>
      <c r="F79" s="29"/>
      <c r="G79" s="31">
        <v>2049.39</v>
      </c>
      <c r="H79" s="47">
        <f t="shared" si="1"/>
        <v>429718.52</v>
      </c>
      <c r="I79" s="81"/>
    </row>
    <row r="80">
      <c r="A80" s="21" t="s">
        <v>151</v>
      </c>
      <c r="B80" s="143" t="s">
        <v>182</v>
      </c>
      <c r="C80" s="43"/>
      <c r="D80" s="101">
        <v>46184.0</v>
      </c>
      <c r="E80" s="28" t="s">
        <v>25</v>
      </c>
      <c r="F80" s="29"/>
      <c r="G80" s="31">
        <v>3163.2</v>
      </c>
      <c r="H80" s="47">
        <f t="shared" si="1"/>
        <v>432881.72</v>
      </c>
      <c r="I80" s="81"/>
    </row>
    <row r="81">
      <c r="A81" s="21" t="s">
        <v>54</v>
      </c>
      <c r="B81" s="57" t="s">
        <v>110</v>
      </c>
      <c r="C81" s="43"/>
      <c r="D81" s="101">
        <v>46188.0</v>
      </c>
      <c r="E81" s="142" t="s">
        <v>25</v>
      </c>
      <c r="F81" s="29"/>
      <c r="G81" s="31">
        <v>9025.14</v>
      </c>
      <c r="H81" s="47">
        <f t="shared" si="1"/>
        <v>441906.86</v>
      </c>
      <c r="I81" s="81"/>
    </row>
    <row r="82">
      <c r="A82" s="75" t="s">
        <v>98</v>
      </c>
      <c r="B82" s="77" t="s">
        <v>99</v>
      </c>
      <c r="C82" s="43"/>
      <c r="D82" s="101">
        <v>46205.0</v>
      </c>
      <c r="E82" s="28" t="s">
        <v>25</v>
      </c>
      <c r="F82" s="56" t="s">
        <v>58</v>
      </c>
      <c r="G82" s="31">
        <v>-4722.24</v>
      </c>
      <c r="H82" s="47">
        <f t="shared" si="1"/>
        <v>437184.62</v>
      </c>
      <c r="I82" s="81"/>
    </row>
    <row r="83">
      <c r="A83" s="75" t="s">
        <v>98</v>
      </c>
      <c r="B83" s="84" t="s">
        <v>103</v>
      </c>
      <c r="C83" s="43"/>
      <c r="D83" s="101">
        <v>46205.0</v>
      </c>
      <c r="E83" s="28" t="s">
        <v>25</v>
      </c>
      <c r="F83" s="56" t="s">
        <v>58</v>
      </c>
      <c r="G83" s="31">
        <v>-4722.24</v>
      </c>
      <c r="H83" s="47">
        <f t="shared" si="1"/>
        <v>432462.38</v>
      </c>
      <c r="I83" s="81"/>
    </row>
    <row r="84">
      <c r="A84" s="75" t="s">
        <v>98</v>
      </c>
      <c r="B84" s="84" t="s">
        <v>106</v>
      </c>
      <c r="C84" s="43"/>
      <c r="D84" s="101">
        <v>46205.0</v>
      </c>
      <c r="E84" s="28" t="s">
        <v>25</v>
      </c>
      <c r="F84" s="56" t="s">
        <v>58</v>
      </c>
      <c r="G84" s="31">
        <v>-4722.24</v>
      </c>
      <c r="H84" s="47">
        <f t="shared" si="1"/>
        <v>427740.14</v>
      </c>
      <c r="I84" s="81"/>
    </row>
    <row r="85">
      <c r="A85" s="75" t="s">
        <v>98</v>
      </c>
      <c r="B85" s="84" t="s">
        <v>217</v>
      </c>
      <c r="C85" s="43"/>
      <c r="D85" s="101">
        <v>46205.0</v>
      </c>
      <c r="E85" s="28" t="s">
        <v>25</v>
      </c>
      <c r="F85" s="56" t="s">
        <v>58</v>
      </c>
      <c r="G85" s="31">
        <v>-4722.24</v>
      </c>
      <c r="H85" s="47">
        <f t="shared" si="1"/>
        <v>423017.9</v>
      </c>
      <c r="I85" s="81"/>
    </row>
    <row r="86">
      <c r="A86" s="21" t="s">
        <v>84</v>
      </c>
      <c r="B86" s="64" t="s">
        <v>222</v>
      </c>
      <c r="C86" s="43"/>
      <c r="D86" s="101">
        <v>46209.0</v>
      </c>
      <c r="E86" s="28" t="s">
        <v>25</v>
      </c>
      <c r="F86" s="29"/>
      <c r="G86" s="31">
        <v>-7496.6</v>
      </c>
      <c r="H86" s="47">
        <f t="shared" si="1"/>
        <v>415521.3</v>
      </c>
      <c r="I86" s="81"/>
    </row>
    <row r="87">
      <c r="A87" s="21" t="s">
        <v>88</v>
      </c>
      <c r="B87" s="64" t="s">
        <v>223</v>
      </c>
      <c r="C87" s="43"/>
      <c r="D87" s="101">
        <v>46209.0</v>
      </c>
      <c r="E87" s="28" t="s">
        <v>25</v>
      </c>
      <c r="F87" s="29"/>
      <c r="G87" s="31">
        <v>-1934.0</v>
      </c>
      <c r="H87" s="47">
        <f t="shared" si="1"/>
        <v>413587.3</v>
      </c>
      <c r="I87" s="81"/>
    </row>
    <row r="88">
      <c r="A88" s="129"/>
      <c r="B88" s="64" t="s">
        <v>186</v>
      </c>
      <c r="C88" s="43"/>
      <c r="D88" s="101">
        <v>46209.0</v>
      </c>
      <c r="E88" s="28" t="s">
        <v>25</v>
      </c>
      <c r="F88" s="29"/>
      <c r="G88" s="31">
        <v>-172.86</v>
      </c>
      <c r="H88" s="47">
        <f t="shared" si="1"/>
        <v>413414.44</v>
      </c>
      <c r="I88" s="81"/>
    </row>
    <row r="89">
      <c r="A89" s="21" t="s">
        <v>133</v>
      </c>
      <c r="B89" s="64" t="s">
        <v>224</v>
      </c>
      <c r="C89" s="43"/>
      <c r="D89" s="101">
        <v>46209.0</v>
      </c>
      <c r="E89" s="28" t="s">
        <v>25</v>
      </c>
      <c r="F89" s="29"/>
      <c r="G89" s="31">
        <v>-12307.01</v>
      </c>
      <c r="H89" s="47">
        <f t="shared" si="1"/>
        <v>401107.43</v>
      </c>
      <c r="I89" s="81"/>
    </row>
    <row r="90">
      <c r="A90" s="49" t="s">
        <v>54</v>
      </c>
      <c r="B90" s="57" t="s">
        <v>110</v>
      </c>
      <c r="C90" s="55"/>
      <c r="D90" s="88">
        <v>46210.0</v>
      </c>
      <c r="E90" s="142" t="s">
        <v>25</v>
      </c>
      <c r="F90" s="118"/>
      <c r="G90" s="31">
        <v>9025.14</v>
      </c>
      <c r="H90" s="47">
        <f t="shared" si="1"/>
        <v>410132.57</v>
      </c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</row>
    <row r="91">
      <c r="A91" s="21" t="s">
        <v>126</v>
      </c>
      <c r="B91" s="64" t="s">
        <v>226</v>
      </c>
      <c r="C91" s="43"/>
      <c r="D91" s="101">
        <v>46211.0</v>
      </c>
      <c r="E91" s="142" t="s">
        <v>25</v>
      </c>
      <c r="F91" s="29"/>
      <c r="G91" s="31">
        <v>-62.0</v>
      </c>
      <c r="H91" s="47">
        <f t="shared" si="1"/>
        <v>410070.57</v>
      </c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</row>
    <row r="92">
      <c r="A92" s="21" t="s">
        <v>133</v>
      </c>
      <c r="B92" s="64" t="s">
        <v>113</v>
      </c>
      <c r="C92" s="43"/>
      <c r="D92" s="101">
        <v>46211.0</v>
      </c>
      <c r="E92" s="142" t="s">
        <v>25</v>
      </c>
      <c r="F92" s="29"/>
      <c r="G92" s="31">
        <v>-9025.14</v>
      </c>
      <c r="H92" s="47">
        <f t="shared" si="1"/>
        <v>401045.43</v>
      </c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</row>
    <row r="93">
      <c r="A93" s="21" t="s">
        <v>84</v>
      </c>
      <c r="B93" s="64" t="s">
        <v>227</v>
      </c>
      <c r="C93" s="43"/>
      <c r="D93" s="101">
        <v>46211.0</v>
      </c>
      <c r="E93" s="142" t="s">
        <v>25</v>
      </c>
      <c r="F93" s="29"/>
      <c r="G93" s="31">
        <v>-58.26</v>
      </c>
      <c r="H93" s="47">
        <f t="shared" si="1"/>
        <v>400987.17</v>
      </c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</row>
    <row r="94">
      <c r="A94" s="21" t="s">
        <v>151</v>
      </c>
      <c r="B94" s="57" t="s">
        <v>219</v>
      </c>
      <c r="C94" s="43"/>
      <c r="D94" s="101">
        <v>46211.0</v>
      </c>
      <c r="E94" s="142" t="s">
        <v>25</v>
      </c>
      <c r="F94" s="29"/>
      <c r="G94" s="31">
        <v>2049.39</v>
      </c>
      <c r="H94" s="47">
        <f t="shared" si="1"/>
        <v>403036.56</v>
      </c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</row>
    <row r="95">
      <c r="A95" s="49" t="s">
        <v>151</v>
      </c>
      <c r="B95" s="54" t="s">
        <v>229</v>
      </c>
      <c r="C95" s="55"/>
      <c r="D95" s="88">
        <v>46220.0</v>
      </c>
      <c r="E95" s="28" t="s">
        <v>25</v>
      </c>
      <c r="F95" s="118"/>
      <c r="G95" s="31">
        <v>3163.2</v>
      </c>
      <c r="H95" s="47">
        <f t="shared" si="1"/>
        <v>406199.76</v>
      </c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</row>
    <row r="96">
      <c r="A96" s="49" t="s">
        <v>133</v>
      </c>
      <c r="B96" s="144" t="s">
        <v>230</v>
      </c>
      <c r="C96" s="55"/>
      <c r="D96" s="88">
        <v>46220.0</v>
      </c>
      <c r="E96" s="28" t="s">
        <v>25</v>
      </c>
      <c r="F96" s="118"/>
      <c r="G96" s="31">
        <v>14214.6</v>
      </c>
      <c r="H96" s="47">
        <f t="shared" si="1"/>
        <v>420414.36</v>
      </c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</row>
    <row r="97">
      <c r="A97" s="49" t="s">
        <v>133</v>
      </c>
      <c r="B97" s="144" t="s">
        <v>231</v>
      </c>
      <c r="C97" s="55"/>
      <c r="D97" s="88">
        <v>46226.0</v>
      </c>
      <c r="E97" s="28" t="s">
        <v>25</v>
      </c>
      <c r="F97" s="118"/>
      <c r="G97" s="31">
        <v>-14214.6</v>
      </c>
      <c r="H97" s="47">
        <f t="shared" si="1"/>
        <v>406199.76</v>
      </c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</row>
    <row r="98">
      <c r="A98" s="49" t="s">
        <v>126</v>
      </c>
      <c r="B98" s="145" t="s">
        <v>232</v>
      </c>
      <c r="C98" s="55"/>
      <c r="D98" s="88">
        <v>46227.0</v>
      </c>
      <c r="E98" s="28" t="s">
        <v>25</v>
      </c>
      <c r="F98" s="118"/>
      <c r="G98" s="31">
        <v>-7169.01</v>
      </c>
      <c r="H98" s="47">
        <f t="shared" si="1"/>
        <v>399030.75</v>
      </c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</row>
    <row r="99">
      <c r="A99" s="49" t="s">
        <v>88</v>
      </c>
      <c r="B99" s="64" t="s">
        <v>233</v>
      </c>
      <c r="C99" s="55"/>
      <c r="D99" s="88">
        <v>46227.0</v>
      </c>
      <c r="E99" s="28" t="s">
        <v>25</v>
      </c>
      <c r="F99" s="118"/>
      <c r="G99" s="31">
        <v>-1845.52</v>
      </c>
      <c r="H99" s="47">
        <f t="shared" si="1"/>
        <v>397185.23</v>
      </c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</row>
    <row r="100">
      <c r="A100" s="21" t="s">
        <v>186</v>
      </c>
      <c r="B100" s="64" t="s">
        <v>186</v>
      </c>
      <c r="C100" s="43"/>
      <c r="D100" s="101">
        <v>46230.0</v>
      </c>
      <c r="E100" s="28" t="s">
        <v>158</v>
      </c>
      <c r="F100" s="29"/>
      <c r="G100" s="31">
        <v>-72.62</v>
      </c>
      <c r="H100" s="47">
        <f t="shared" si="1"/>
        <v>397112.61</v>
      </c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</row>
    <row r="101">
      <c r="A101" s="141" t="s">
        <v>98</v>
      </c>
      <c r="B101" s="77" t="s">
        <v>99</v>
      </c>
      <c r="C101" s="79" t="s">
        <v>100</v>
      </c>
      <c r="D101" s="88">
        <v>46237.0</v>
      </c>
      <c r="E101" s="28" t="s">
        <v>25</v>
      </c>
      <c r="F101" s="29"/>
      <c r="G101" s="31">
        <v>-4722.24</v>
      </c>
      <c r="H101" s="47">
        <f t="shared" si="1"/>
        <v>392390.37</v>
      </c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</row>
    <row r="102">
      <c r="A102" s="141" t="s">
        <v>98</v>
      </c>
      <c r="B102" s="84" t="s">
        <v>103</v>
      </c>
      <c r="C102" s="79" t="s">
        <v>104</v>
      </c>
      <c r="D102" s="88">
        <v>46237.0</v>
      </c>
      <c r="E102" s="28" t="s">
        <v>25</v>
      </c>
      <c r="F102" s="29"/>
      <c r="G102" s="31">
        <v>-4722.24</v>
      </c>
      <c r="H102" s="47">
        <f t="shared" si="1"/>
        <v>387668.13</v>
      </c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</row>
    <row r="103">
      <c r="A103" s="141" t="s">
        <v>98</v>
      </c>
      <c r="B103" s="84" t="s">
        <v>106</v>
      </c>
      <c r="C103" s="86" t="s">
        <v>107</v>
      </c>
      <c r="D103" s="88">
        <v>46237.0</v>
      </c>
      <c r="E103" s="28" t="s">
        <v>25</v>
      </c>
      <c r="F103" s="29"/>
      <c r="G103" s="31">
        <v>-4722.24</v>
      </c>
      <c r="H103" s="47">
        <f t="shared" si="1"/>
        <v>382945.89</v>
      </c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</row>
    <row r="104">
      <c r="A104" s="141" t="s">
        <v>98</v>
      </c>
      <c r="B104" s="84" t="s">
        <v>217</v>
      </c>
      <c r="C104" s="112" t="s">
        <v>160</v>
      </c>
      <c r="D104" s="88">
        <v>46237.0</v>
      </c>
      <c r="E104" s="28" t="s">
        <v>25</v>
      </c>
      <c r="F104" s="29"/>
      <c r="G104" s="31">
        <v>-4722.24</v>
      </c>
      <c r="H104" s="47">
        <f t="shared" si="1"/>
        <v>378223.65</v>
      </c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</row>
    <row r="105">
      <c r="A105" s="146" t="s">
        <v>98</v>
      </c>
      <c r="B105" s="147" t="s">
        <v>235</v>
      </c>
      <c r="C105" s="148">
        <v>1.2229880624E10</v>
      </c>
      <c r="D105" s="88">
        <v>46237.0</v>
      </c>
      <c r="E105" s="28" t="s">
        <v>25</v>
      </c>
      <c r="F105" s="29"/>
      <c r="G105" s="31">
        <v>-1484.0</v>
      </c>
      <c r="H105" s="47">
        <f t="shared" si="1"/>
        <v>376739.65</v>
      </c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</row>
    <row r="106">
      <c r="A106" s="146" t="s">
        <v>98</v>
      </c>
      <c r="B106" s="147" t="s">
        <v>236</v>
      </c>
      <c r="C106" s="149"/>
      <c r="D106" s="88">
        <v>46237.0</v>
      </c>
      <c r="E106" s="28" t="s">
        <v>25</v>
      </c>
      <c r="F106" s="29"/>
      <c r="G106" s="31">
        <v>-1035.74</v>
      </c>
      <c r="H106" s="47">
        <f t="shared" si="1"/>
        <v>375703.91</v>
      </c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</row>
    <row r="107">
      <c r="A107" s="150" t="s">
        <v>237</v>
      </c>
      <c r="B107" s="151" t="s">
        <v>238</v>
      </c>
      <c r="C107" s="152"/>
      <c r="D107" s="153">
        <v>46238.0</v>
      </c>
      <c r="E107" s="154" t="s">
        <v>25</v>
      </c>
      <c r="F107" s="85"/>
      <c r="G107" s="155">
        <v>-13460.0</v>
      </c>
      <c r="H107" s="156">
        <f t="shared" si="1"/>
        <v>362243.91</v>
      </c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</row>
    <row r="108">
      <c r="A108" s="150"/>
      <c r="B108" s="151"/>
      <c r="C108" s="152"/>
      <c r="D108" s="153"/>
      <c r="E108" s="154"/>
      <c r="F108" s="85"/>
      <c r="G108" s="155"/>
      <c r="H108" s="156">
        <f t="shared" si="1"/>
        <v>362243.91</v>
      </c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</row>
    <row r="109">
      <c r="A109" s="150"/>
      <c r="B109" s="151"/>
      <c r="C109" s="152"/>
      <c r="D109" s="153"/>
      <c r="E109" s="154"/>
      <c r="F109" s="85"/>
      <c r="G109" s="155"/>
      <c r="H109" s="156">
        <f t="shared" si="1"/>
        <v>362243.91</v>
      </c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</row>
    <row r="110">
      <c r="A110" s="150"/>
      <c r="B110" s="151"/>
      <c r="C110" s="152"/>
      <c r="D110" s="153"/>
      <c r="E110" s="154"/>
      <c r="F110" s="85"/>
      <c r="G110" s="155"/>
      <c r="H110" s="156">
        <f t="shared" si="1"/>
        <v>362243.91</v>
      </c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</row>
    <row r="111">
      <c r="A111" s="150"/>
      <c r="B111" s="151"/>
      <c r="C111" s="152"/>
      <c r="D111" s="153"/>
      <c r="E111" s="154"/>
      <c r="F111" s="85"/>
      <c r="G111" s="155"/>
      <c r="H111" s="156">
        <f t="shared" si="1"/>
        <v>362243.91</v>
      </c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</row>
    <row r="112">
      <c r="A112" s="150"/>
      <c r="B112" s="151"/>
      <c r="C112" s="152"/>
      <c r="D112" s="153"/>
      <c r="E112" s="154"/>
      <c r="F112" s="85"/>
      <c r="G112" s="155"/>
      <c r="H112" s="156">
        <f t="shared" si="1"/>
        <v>362243.91</v>
      </c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</row>
    <row r="113">
      <c r="A113" s="150"/>
      <c r="B113" s="151"/>
      <c r="C113" s="152"/>
      <c r="D113" s="153"/>
      <c r="E113" s="154"/>
      <c r="F113" s="85"/>
      <c r="G113" s="155"/>
      <c r="H113" s="156">
        <f t="shared" si="1"/>
        <v>362243.91</v>
      </c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</row>
    <row r="114">
      <c r="A114" s="150"/>
      <c r="B114" s="151"/>
      <c r="C114" s="152"/>
      <c r="D114" s="153"/>
      <c r="E114" s="154"/>
      <c r="F114" s="85"/>
      <c r="G114" s="155"/>
      <c r="H114" s="156">
        <f t="shared" si="1"/>
        <v>362243.91</v>
      </c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</row>
    <row r="115">
      <c r="A115" s="150"/>
      <c r="B115" s="151"/>
      <c r="C115" s="152"/>
      <c r="D115" s="153"/>
      <c r="E115" s="154"/>
      <c r="F115" s="85"/>
      <c r="G115" s="155"/>
      <c r="H115" s="156">
        <f t="shared" si="1"/>
        <v>362243.91</v>
      </c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</row>
    <row r="116">
      <c r="A116" s="150"/>
      <c r="B116" s="151"/>
      <c r="C116" s="152"/>
      <c r="D116" s="153"/>
      <c r="E116" s="154"/>
      <c r="F116" s="85"/>
      <c r="G116" s="155"/>
      <c r="H116" s="156">
        <f t="shared" si="1"/>
        <v>362243.91</v>
      </c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</row>
    <row r="117">
      <c r="A117" s="150"/>
      <c r="B117" s="151"/>
      <c r="C117" s="152"/>
      <c r="D117" s="153"/>
      <c r="E117" s="154"/>
      <c r="F117" s="85"/>
      <c r="G117" s="155"/>
      <c r="H117" s="156">
        <f t="shared" si="1"/>
        <v>362243.91</v>
      </c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</row>
    <row r="118">
      <c r="A118" s="150"/>
      <c r="B118" s="151"/>
      <c r="C118" s="152"/>
      <c r="D118" s="153"/>
      <c r="E118" s="154"/>
      <c r="F118" s="85"/>
      <c r="G118" s="155"/>
      <c r="H118" s="156">
        <f t="shared" si="1"/>
        <v>362243.91</v>
      </c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</row>
    <row r="119">
      <c r="A119" s="150"/>
      <c r="B119" s="151"/>
      <c r="C119" s="152"/>
      <c r="D119" s="153"/>
      <c r="E119" s="154"/>
      <c r="F119" s="85"/>
      <c r="G119" s="155"/>
      <c r="H119" s="156">
        <f t="shared" si="1"/>
        <v>362243.91</v>
      </c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</row>
    <row r="120">
      <c r="A120" s="150"/>
      <c r="B120" s="151"/>
      <c r="C120" s="152"/>
      <c r="D120" s="153"/>
      <c r="E120" s="154"/>
      <c r="F120" s="85"/>
      <c r="G120" s="155"/>
      <c r="H120" s="156">
        <f t="shared" si="1"/>
        <v>362243.91</v>
      </c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</row>
    <row r="121">
      <c r="A121" s="150"/>
      <c r="B121" s="151"/>
      <c r="C121" s="152"/>
      <c r="D121" s="153"/>
      <c r="E121" s="154"/>
      <c r="F121" s="85"/>
      <c r="G121" s="155"/>
      <c r="H121" s="156">
        <f t="shared" si="1"/>
        <v>362243.91</v>
      </c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</row>
    <row r="122">
      <c r="A122" s="150"/>
      <c r="B122" s="151"/>
      <c r="C122" s="152"/>
      <c r="D122" s="153"/>
      <c r="E122" s="154"/>
      <c r="F122" s="85"/>
      <c r="G122" s="155"/>
      <c r="H122" s="156">
        <f t="shared" si="1"/>
        <v>362243.91</v>
      </c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</row>
    <row r="123">
      <c r="A123" s="150"/>
      <c r="B123" s="151"/>
      <c r="C123" s="152"/>
      <c r="D123" s="153"/>
      <c r="E123" s="154"/>
      <c r="F123" s="85"/>
      <c r="G123" s="155"/>
      <c r="H123" s="156">
        <f t="shared" si="1"/>
        <v>362243.91</v>
      </c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</row>
    <row r="124">
      <c r="A124" s="150"/>
      <c r="B124" s="151"/>
      <c r="C124" s="152"/>
      <c r="D124" s="153"/>
      <c r="E124" s="154"/>
      <c r="F124" s="85"/>
      <c r="G124" s="155"/>
      <c r="H124" s="156">
        <f t="shared" si="1"/>
        <v>362243.91</v>
      </c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</row>
    <row r="125">
      <c r="A125" s="150"/>
      <c r="B125" s="151"/>
      <c r="C125" s="152"/>
      <c r="D125" s="153"/>
      <c r="E125" s="154"/>
      <c r="F125" s="85"/>
      <c r="G125" s="155"/>
      <c r="H125" s="156">
        <f t="shared" si="1"/>
        <v>362243.91</v>
      </c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</row>
    <row r="126">
      <c r="A126" s="150"/>
      <c r="B126" s="151"/>
      <c r="C126" s="152"/>
      <c r="D126" s="153"/>
      <c r="E126" s="154"/>
      <c r="F126" s="85"/>
      <c r="G126" s="155"/>
      <c r="H126" s="156">
        <f t="shared" si="1"/>
        <v>362243.91</v>
      </c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</row>
    <row r="127">
      <c r="A127" s="150"/>
      <c r="B127" s="151"/>
      <c r="C127" s="152"/>
      <c r="D127" s="153"/>
      <c r="E127" s="154"/>
      <c r="F127" s="85"/>
      <c r="G127" s="155"/>
      <c r="H127" s="156">
        <f t="shared" si="1"/>
        <v>362243.91</v>
      </c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</row>
    <row r="128">
      <c r="A128" s="150"/>
      <c r="B128" s="151"/>
      <c r="C128" s="152"/>
      <c r="D128" s="153"/>
      <c r="E128" s="154"/>
      <c r="F128" s="85"/>
      <c r="G128" s="155"/>
      <c r="H128" s="156">
        <f t="shared" si="1"/>
        <v>362243.91</v>
      </c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</row>
    <row r="129">
      <c r="A129" s="150"/>
      <c r="B129" s="151"/>
      <c r="C129" s="152"/>
      <c r="D129" s="153"/>
      <c r="E129" s="154"/>
      <c r="F129" s="85"/>
      <c r="G129" s="155"/>
      <c r="H129" s="156">
        <f t="shared" si="1"/>
        <v>362243.91</v>
      </c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</row>
    <row r="130">
      <c r="A130" s="150"/>
      <c r="B130" s="151"/>
      <c r="C130" s="152"/>
      <c r="D130" s="153"/>
      <c r="E130" s="154"/>
      <c r="F130" s="85"/>
      <c r="G130" s="155"/>
      <c r="H130" s="156">
        <f t="shared" si="1"/>
        <v>362243.91</v>
      </c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</row>
    <row r="131">
      <c r="A131" s="150"/>
      <c r="B131" s="151"/>
      <c r="C131" s="152"/>
      <c r="D131" s="153"/>
      <c r="E131" s="154"/>
      <c r="F131" s="85"/>
      <c r="G131" s="155"/>
      <c r="H131" s="156">
        <f t="shared" si="1"/>
        <v>362243.91</v>
      </c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</row>
    <row r="132">
      <c r="A132" s="150"/>
      <c r="B132" s="151"/>
      <c r="C132" s="152"/>
      <c r="D132" s="153"/>
      <c r="E132" s="154"/>
      <c r="F132" s="85"/>
      <c r="G132" s="155"/>
      <c r="H132" s="156">
        <f t="shared" si="1"/>
        <v>362243.91</v>
      </c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</row>
    <row r="133">
      <c r="A133" s="150"/>
      <c r="B133" s="151"/>
      <c r="C133" s="152"/>
      <c r="D133" s="153"/>
      <c r="E133" s="154"/>
      <c r="F133" s="85"/>
      <c r="G133" s="155"/>
      <c r="H133" s="156">
        <f t="shared" si="1"/>
        <v>362243.91</v>
      </c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</row>
    <row r="134">
      <c r="A134" s="150"/>
      <c r="B134" s="151"/>
      <c r="C134" s="152"/>
      <c r="D134" s="153"/>
      <c r="E134" s="154"/>
      <c r="F134" s="85"/>
      <c r="G134" s="155"/>
      <c r="H134" s="156">
        <f t="shared" si="1"/>
        <v>362243.91</v>
      </c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</row>
    <row r="135">
      <c r="A135" s="150"/>
      <c r="B135" s="151"/>
      <c r="C135" s="152"/>
      <c r="D135" s="153"/>
      <c r="E135" s="154"/>
      <c r="F135" s="85"/>
      <c r="G135" s="155"/>
      <c r="H135" s="156">
        <f t="shared" si="1"/>
        <v>362243.91</v>
      </c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</row>
    <row r="136">
      <c r="A136" s="150"/>
      <c r="B136" s="151"/>
      <c r="C136" s="152"/>
      <c r="D136" s="153"/>
      <c r="E136" s="154"/>
      <c r="F136" s="85"/>
      <c r="G136" s="155"/>
      <c r="H136" s="156">
        <f t="shared" si="1"/>
        <v>362243.91</v>
      </c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</row>
    <row r="137">
      <c r="A137" s="150"/>
      <c r="B137" s="151"/>
      <c r="C137" s="152"/>
      <c r="D137" s="153"/>
      <c r="E137" s="154"/>
      <c r="F137" s="85"/>
      <c r="G137" s="155"/>
      <c r="H137" s="156">
        <f t="shared" si="1"/>
        <v>362243.91</v>
      </c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</row>
    <row r="138">
      <c r="A138" s="150"/>
      <c r="B138" s="151"/>
      <c r="C138" s="152"/>
      <c r="D138" s="153"/>
      <c r="E138" s="154"/>
      <c r="F138" s="85"/>
      <c r="G138" s="155"/>
      <c r="H138" s="156">
        <f t="shared" si="1"/>
        <v>362243.91</v>
      </c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</row>
    <row r="139">
      <c r="A139" s="150"/>
      <c r="B139" s="151"/>
      <c r="C139" s="152"/>
      <c r="D139" s="153"/>
      <c r="E139" s="154"/>
      <c r="F139" s="85"/>
      <c r="G139" s="155"/>
      <c r="H139" s="156">
        <f t="shared" si="1"/>
        <v>362243.91</v>
      </c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</row>
    <row r="140">
      <c r="A140" s="150"/>
      <c r="B140" s="151"/>
      <c r="C140" s="152"/>
      <c r="D140" s="153"/>
      <c r="E140" s="154"/>
      <c r="F140" s="85"/>
      <c r="G140" s="155"/>
      <c r="H140" s="156">
        <f t="shared" si="1"/>
        <v>362243.91</v>
      </c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</row>
    <row r="141">
      <c r="A141" s="150"/>
      <c r="B141" s="151"/>
      <c r="C141" s="152"/>
      <c r="D141" s="153"/>
      <c r="E141" s="154"/>
      <c r="F141" s="85"/>
      <c r="G141" s="155"/>
      <c r="H141" s="156">
        <f t="shared" si="1"/>
        <v>362243.91</v>
      </c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</row>
    <row r="142">
      <c r="A142" s="150"/>
      <c r="B142" s="151"/>
      <c r="C142" s="152"/>
      <c r="D142" s="153"/>
      <c r="E142" s="154"/>
      <c r="F142" s="85"/>
      <c r="G142" s="155"/>
      <c r="H142" s="156">
        <f t="shared" si="1"/>
        <v>362243.91</v>
      </c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</row>
    <row r="143">
      <c r="A143" s="150"/>
      <c r="B143" s="151"/>
      <c r="C143" s="152"/>
      <c r="D143" s="153"/>
      <c r="E143" s="154"/>
      <c r="F143" s="85"/>
      <c r="G143" s="155"/>
      <c r="H143" s="156">
        <f t="shared" si="1"/>
        <v>362243.91</v>
      </c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</row>
    <row r="144">
      <c r="A144" s="150"/>
      <c r="B144" s="151"/>
      <c r="C144" s="152"/>
      <c r="D144" s="153"/>
      <c r="E144" s="154"/>
      <c r="F144" s="85"/>
      <c r="G144" s="155"/>
      <c r="H144" s="156">
        <f t="shared" si="1"/>
        <v>362243.91</v>
      </c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</row>
    <row r="145">
      <c r="A145" s="150"/>
      <c r="B145" s="151"/>
      <c r="C145" s="152"/>
      <c r="D145" s="153"/>
      <c r="E145" s="154"/>
      <c r="F145" s="85"/>
      <c r="G145" s="155"/>
      <c r="H145" s="156">
        <f t="shared" si="1"/>
        <v>362243.91</v>
      </c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</row>
    <row r="146">
      <c r="A146" s="150"/>
      <c r="B146" s="151"/>
      <c r="C146" s="152"/>
      <c r="D146" s="153"/>
      <c r="E146" s="154"/>
      <c r="F146" s="85"/>
      <c r="G146" s="155"/>
      <c r="H146" s="156">
        <f t="shared" si="1"/>
        <v>362243.91</v>
      </c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</row>
    <row r="147">
      <c r="A147" s="150"/>
      <c r="B147" s="151"/>
      <c r="C147" s="152"/>
      <c r="D147" s="153"/>
      <c r="E147" s="154"/>
      <c r="F147" s="85"/>
      <c r="G147" s="155"/>
      <c r="H147" s="156">
        <f t="shared" si="1"/>
        <v>362243.91</v>
      </c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</row>
    <row r="148">
      <c r="A148" s="150"/>
      <c r="B148" s="151"/>
      <c r="C148" s="152"/>
      <c r="D148" s="153"/>
      <c r="E148" s="154"/>
      <c r="F148" s="85"/>
      <c r="G148" s="155"/>
      <c r="H148" s="156">
        <f t="shared" si="1"/>
        <v>362243.91</v>
      </c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</row>
    <row r="149">
      <c r="A149" s="150"/>
      <c r="B149" s="151"/>
      <c r="C149" s="152"/>
      <c r="D149" s="153"/>
      <c r="E149" s="154"/>
      <c r="F149" s="85"/>
      <c r="G149" s="155"/>
      <c r="H149" s="156">
        <f t="shared" si="1"/>
        <v>362243.91</v>
      </c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</row>
    <row r="150">
      <c r="A150" s="150"/>
      <c r="B150" s="151"/>
      <c r="C150" s="152"/>
      <c r="D150" s="153"/>
      <c r="E150" s="154"/>
      <c r="F150" s="85"/>
      <c r="G150" s="155"/>
      <c r="H150" s="156">
        <f t="shared" si="1"/>
        <v>362243.91</v>
      </c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</row>
    <row r="151">
      <c r="A151" s="150"/>
      <c r="B151" s="151"/>
      <c r="C151" s="152"/>
      <c r="D151" s="153"/>
      <c r="E151" s="154"/>
      <c r="F151" s="85"/>
      <c r="G151" s="155"/>
      <c r="H151" s="156">
        <f t="shared" si="1"/>
        <v>362243.91</v>
      </c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</row>
    <row r="152">
      <c r="A152" s="150"/>
      <c r="B152" s="151"/>
      <c r="C152" s="152"/>
      <c r="D152" s="153"/>
      <c r="E152" s="154"/>
      <c r="F152" s="85"/>
      <c r="G152" s="155"/>
      <c r="H152" s="156">
        <f t="shared" si="1"/>
        <v>362243.91</v>
      </c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</row>
    <row r="153">
      <c r="A153" s="150"/>
      <c r="B153" s="151"/>
      <c r="C153" s="152"/>
      <c r="D153" s="153"/>
      <c r="E153" s="154"/>
      <c r="F153" s="85"/>
      <c r="G153" s="155"/>
      <c r="H153" s="156">
        <f t="shared" si="1"/>
        <v>362243.91</v>
      </c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</row>
    <row r="154">
      <c r="A154" s="150"/>
      <c r="B154" s="151"/>
      <c r="C154" s="152"/>
      <c r="D154" s="153"/>
      <c r="E154" s="154"/>
      <c r="F154" s="85"/>
      <c r="G154" s="155"/>
      <c r="H154" s="156">
        <f t="shared" si="1"/>
        <v>362243.91</v>
      </c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</row>
    <row r="155">
      <c r="A155" s="150"/>
      <c r="B155" s="151"/>
      <c r="C155" s="152"/>
      <c r="D155" s="153"/>
      <c r="E155" s="154"/>
      <c r="F155" s="85"/>
      <c r="G155" s="155"/>
      <c r="H155" s="156">
        <f t="shared" si="1"/>
        <v>362243.91</v>
      </c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</row>
    <row r="156">
      <c r="A156" s="150"/>
      <c r="B156" s="151"/>
      <c r="C156" s="152"/>
      <c r="D156" s="153"/>
      <c r="E156" s="154"/>
      <c r="F156" s="85"/>
      <c r="G156" s="155"/>
      <c r="H156" s="156">
        <f t="shared" si="1"/>
        <v>362243.91</v>
      </c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</row>
    <row r="157">
      <c r="A157" s="150"/>
      <c r="B157" s="151"/>
      <c r="C157" s="152"/>
      <c r="D157" s="153"/>
      <c r="E157" s="154"/>
      <c r="F157" s="85"/>
      <c r="G157" s="155"/>
      <c r="H157" s="156">
        <f t="shared" si="1"/>
        <v>362243.91</v>
      </c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</row>
    <row r="158">
      <c r="A158" s="150"/>
      <c r="B158" s="151"/>
      <c r="C158" s="152"/>
      <c r="D158" s="153"/>
      <c r="E158" s="154"/>
      <c r="F158" s="85"/>
      <c r="G158" s="155"/>
      <c r="H158" s="156">
        <f t="shared" si="1"/>
        <v>362243.91</v>
      </c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</row>
    <row r="159">
      <c r="A159" s="150"/>
      <c r="B159" s="151"/>
      <c r="C159" s="152"/>
      <c r="D159" s="153"/>
      <c r="E159" s="154"/>
      <c r="F159" s="85"/>
      <c r="G159" s="155"/>
      <c r="H159" s="156">
        <f t="shared" si="1"/>
        <v>362243.91</v>
      </c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</row>
    <row r="160">
      <c r="A160" s="150"/>
      <c r="B160" s="151"/>
      <c r="C160" s="152"/>
      <c r="D160" s="153"/>
      <c r="E160" s="154"/>
      <c r="F160" s="85"/>
      <c r="G160" s="155"/>
      <c r="H160" s="156">
        <f t="shared" si="1"/>
        <v>362243.91</v>
      </c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</row>
    <row r="161">
      <c r="A161" s="150"/>
      <c r="B161" s="151"/>
      <c r="C161" s="152"/>
      <c r="D161" s="153"/>
      <c r="E161" s="154"/>
      <c r="F161" s="85"/>
      <c r="G161" s="155"/>
      <c r="H161" s="156">
        <f t="shared" si="1"/>
        <v>362243.91</v>
      </c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</row>
    <row r="162">
      <c r="A162" s="150"/>
      <c r="B162" s="151"/>
      <c r="C162" s="152"/>
      <c r="D162" s="153"/>
      <c r="E162" s="154"/>
      <c r="F162" s="85"/>
      <c r="G162" s="155"/>
      <c r="H162" s="156">
        <f t="shared" si="1"/>
        <v>362243.91</v>
      </c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</row>
    <row r="163">
      <c r="A163" s="150"/>
      <c r="B163" s="151"/>
      <c r="C163" s="152"/>
      <c r="D163" s="153"/>
      <c r="E163" s="154"/>
      <c r="F163" s="85"/>
      <c r="G163" s="155"/>
      <c r="H163" s="156">
        <f t="shared" si="1"/>
        <v>362243.91</v>
      </c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</row>
    <row r="164">
      <c r="A164" s="150"/>
      <c r="B164" s="151"/>
      <c r="C164" s="152"/>
      <c r="D164" s="153"/>
      <c r="E164" s="154"/>
      <c r="F164" s="85"/>
      <c r="G164" s="155"/>
      <c r="H164" s="156">
        <f t="shared" si="1"/>
        <v>362243.91</v>
      </c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</row>
    <row r="165">
      <c r="A165" s="150"/>
      <c r="B165" s="151"/>
      <c r="C165" s="152"/>
      <c r="D165" s="153"/>
      <c r="E165" s="154"/>
      <c r="F165" s="85"/>
      <c r="G165" s="155"/>
      <c r="H165" s="156">
        <f t="shared" si="1"/>
        <v>362243.91</v>
      </c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</row>
    <row r="166">
      <c r="A166" s="150"/>
      <c r="B166" s="151"/>
      <c r="C166" s="152"/>
      <c r="D166" s="153"/>
      <c r="E166" s="154"/>
      <c r="F166" s="85"/>
      <c r="G166" s="155"/>
      <c r="H166" s="156">
        <f t="shared" si="1"/>
        <v>362243.91</v>
      </c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</row>
    <row r="167">
      <c r="A167" s="150"/>
      <c r="B167" s="151"/>
      <c r="C167" s="152"/>
      <c r="D167" s="153"/>
      <c r="E167" s="154"/>
      <c r="F167" s="85"/>
      <c r="G167" s="155"/>
      <c r="H167" s="156">
        <f t="shared" si="1"/>
        <v>362243.91</v>
      </c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</row>
    <row r="168">
      <c r="A168" s="150"/>
      <c r="B168" s="151"/>
      <c r="C168" s="152"/>
      <c r="D168" s="153"/>
      <c r="E168" s="154"/>
      <c r="F168" s="85"/>
      <c r="G168" s="155"/>
      <c r="H168" s="156">
        <f t="shared" si="1"/>
        <v>362243.91</v>
      </c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</row>
    <row r="169">
      <c r="A169" s="150"/>
      <c r="B169" s="151"/>
      <c r="C169" s="152"/>
      <c r="D169" s="153"/>
      <c r="E169" s="154"/>
      <c r="F169" s="85"/>
      <c r="G169" s="155"/>
      <c r="H169" s="156">
        <f t="shared" si="1"/>
        <v>362243.91</v>
      </c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</row>
    <row r="170">
      <c r="A170" s="150"/>
      <c r="B170" s="151"/>
      <c r="C170" s="152"/>
      <c r="D170" s="153"/>
      <c r="E170" s="154"/>
      <c r="F170" s="85"/>
      <c r="G170" s="155"/>
      <c r="H170" s="156">
        <f t="shared" si="1"/>
        <v>362243.91</v>
      </c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</row>
    <row r="171">
      <c r="A171" s="150"/>
      <c r="B171" s="151"/>
      <c r="C171" s="152"/>
      <c r="D171" s="153"/>
      <c r="E171" s="154"/>
      <c r="F171" s="85"/>
      <c r="G171" s="155"/>
      <c r="H171" s="156">
        <f t="shared" si="1"/>
        <v>362243.91</v>
      </c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</row>
    <row r="172">
      <c r="A172" s="150"/>
      <c r="B172" s="151"/>
      <c r="C172" s="152"/>
      <c r="D172" s="153"/>
      <c r="E172" s="154"/>
      <c r="F172" s="85"/>
      <c r="G172" s="155"/>
      <c r="H172" s="156">
        <f t="shared" si="1"/>
        <v>362243.91</v>
      </c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</row>
    <row r="173">
      <c r="A173" s="150"/>
      <c r="B173" s="151"/>
      <c r="C173" s="152"/>
      <c r="D173" s="153"/>
      <c r="E173" s="154"/>
      <c r="F173" s="85"/>
      <c r="G173" s="155"/>
      <c r="H173" s="156">
        <f t="shared" si="1"/>
        <v>362243.91</v>
      </c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</row>
    <row r="174">
      <c r="A174" s="150"/>
      <c r="B174" s="151"/>
      <c r="C174" s="152"/>
      <c r="D174" s="153"/>
      <c r="E174" s="154"/>
      <c r="F174" s="85"/>
      <c r="G174" s="155"/>
      <c r="H174" s="156">
        <f t="shared" si="1"/>
        <v>362243.91</v>
      </c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</row>
    <row r="175">
      <c r="A175" s="150"/>
      <c r="B175" s="151"/>
      <c r="C175" s="152"/>
      <c r="D175" s="153"/>
      <c r="E175" s="154"/>
      <c r="F175" s="85"/>
      <c r="G175" s="155"/>
      <c r="H175" s="156">
        <f t="shared" si="1"/>
        <v>362243.91</v>
      </c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</row>
    <row r="176">
      <c r="A176" s="150"/>
      <c r="B176" s="151"/>
      <c r="C176" s="152"/>
      <c r="D176" s="153"/>
      <c r="E176" s="154"/>
      <c r="F176" s="85"/>
      <c r="G176" s="155"/>
      <c r="H176" s="156">
        <f t="shared" si="1"/>
        <v>362243.91</v>
      </c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</row>
    <row r="177">
      <c r="A177" s="150"/>
      <c r="B177" s="151"/>
      <c r="C177" s="152"/>
      <c r="D177" s="153"/>
      <c r="E177" s="154"/>
      <c r="F177" s="85"/>
      <c r="G177" s="155"/>
      <c r="H177" s="156">
        <f t="shared" si="1"/>
        <v>362243.91</v>
      </c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</row>
    <row r="178">
      <c r="A178" s="150"/>
      <c r="B178" s="151"/>
      <c r="C178" s="152"/>
      <c r="D178" s="153"/>
      <c r="E178" s="154"/>
      <c r="F178" s="85"/>
      <c r="G178" s="155"/>
      <c r="H178" s="156">
        <f t="shared" si="1"/>
        <v>362243.91</v>
      </c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</row>
    <row r="179">
      <c r="A179" s="150"/>
      <c r="B179" s="151"/>
      <c r="C179" s="152"/>
      <c r="D179" s="153"/>
      <c r="E179" s="154"/>
      <c r="F179" s="85"/>
      <c r="G179" s="155"/>
      <c r="H179" s="156">
        <f t="shared" si="1"/>
        <v>362243.91</v>
      </c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</row>
    <row r="180">
      <c r="A180" s="150"/>
      <c r="B180" s="151"/>
      <c r="C180" s="152"/>
      <c r="D180" s="153"/>
      <c r="E180" s="154"/>
      <c r="F180" s="85"/>
      <c r="G180" s="155"/>
      <c r="H180" s="156">
        <f t="shared" si="1"/>
        <v>362243.91</v>
      </c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</row>
    <row r="181">
      <c r="A181" s="150"/>
      <c r="B181" s="151"/>
      <c r="C181" s="152"/>
      <c r="D181" s="153"/>
      <c r="E181" s="154"/>
      <c r="F181" s="85"/>
      <c r="G181" s="155"/>
      <c r="H181" s="156">
        <f t="shared" si="1"/>
        <v>362243.91</v>
      </c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</row>
    <row r="182">
      <c r="A182" s="150"/>
      <c r="B182" s="151"/>
      <c r="C182" s="152"/>
      <c r="D182" s="153"/>
      <c r="E182" s="154"/>
      <c r="F182" s="85"/>
      <c r="G182" s="155"/>
      <c r="H182" s="156">
        <f t="shared" si="1"/>
        <v>362243.91</v>
      </c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</row>
    <row r="183">
      <c r="A183" s="150"/>
      <c r="B183" s="151"/>
      <c r="C183" s="152"/>
      <c r="D183" s="153"/>
      <c r="E183" s="154"/>
      <c r="F183" s="85"/>
      <c r="G183" s="155"/>
      <c r="H183" s="156">
        <f t="shared" si="1"/>
        <v>362243.91</v>
      </c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</row>
    <row r="184">
      <c r="A184" s="150"/>
      <c r="B184" s="151"/>
      <c r="C184" s="152"/>
      <c r="D184" s="153"/>
      <c r="E184" s="154"/>
      <c r="F184" s="85"/>
      <c r="G184" s="155"/>
      <c r="H184" s="156">
        <f t="shared" si="1"/>
        <v>362243.91</v>
      </c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</row>
    <row r="185">
      <c r="A185" s="150"/>
      <c r="B185" s="151"/>
      <c r="C185" s="152"/>
      <c r="D185" s="153"/>
      <c r="E185" s="154"/>
      <c r="F185" s="85"/>
      <c r="G185" s="155"/>
      <c r="H185" s="156">
        <f t="shared" si="1"/>
        <v>362243.91</v>
      </c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</row>
    <row r="186">
      <c r="A186" s="150"/>
      <c r="B186" s="151"/>
      <c r="C186" s="152"/>
      <c r="D186" s="153"/>
      <c r="E186" s="154"/>
      <c r="F186" s="85"/>
      <c r="G186" s="155"/>
      <c r="H186" s="156">
        <f t="shared" si="1"/>
        <v>362243.91</v>
      </c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</row>
    <row r="187">
      <c r="A187" s="150"/>
      <c r="B187" s="151"/>
      <c r="C187" s="152"/>
      <c r="D187" s="153"/>
      <c r="E187" s="154"/>
      <c r="F187" s="85"/>
      <c r="G187" s="155"/>
      <c r="H187" s="156">
        <f t="shared" si="1"/>
        <v>362243.91</v>
      </c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</row>
    <row r="188">
      <c r="A188" s="150"/>
      <c r="B188" s="151"/>
      <c r="C188" s="152"/>
      <c r="D188" s="153"/>
      <c r="E188" s="154"/>
      <c r="F188" s="85"/>
      <c r="G188" s="155"/>
      <c r="H188" s="156">
        <f t="shared" si="1"/>
        <v>362243.91</v>
      </c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</row>
    <row r="189">
      <c r="A189" s="150"/>
      <c r="B189" s="151"/>
      <c r="C189" s="152"/>
      <c r="D189" s="153"/>
      <c r="E189" s="154"/>
      <c r="F189" s="85"/>
      <c r="G189" s="155"/>
      <c r="H189" s="156">
        <f t="shared" si="1"/>
        <v>362243.91</v>
      </c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</row>
    <row r="190">
      <c r="A190" s="150"/>
      <c r="B190" s="151"/>
      <c r="C190" s="152"/>
      <c r="D190" s="153"/>
      <c r="E190" s="154"/>
      <c r="F190" s="85"/>
      <c r="G190" s="155"/>
      <c r="H190" s="156">
        <f t="shared" si="1"/>
        <v>362243.91</v>
      </c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</row>
    <row r="191">
      <c r="A191" s="150"/>
      <c r="B191" s="151"/>
      <c r="C191" s="152"/>
      <c r="D191" s="153"/>
      <c r="E191" s="154"/>
      <c r="F191" s="85"/>
      <c r="G191" s="155"/>
      <c r="H191" s="156">
        <f t="shared" si="1"/>
        <v>362243.91</v>
      </c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</row>
    <row r="192">
      <c r="A192" s="150"/>
      <c r="B192" s="151"/>
      <c r="C192" s="152"/>
      <c r="D192" s="153"/>
      <c r="E192" s="154"/>
      <c r="F192" s="85"/>
      <c r="G192" s="155"/>
      <c r="H192" s="156">
        <f t="shared" si="1"/>
        <v>362243.91</v>
      </c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</row>
    <row r="193">
      <c r="A193" s="150"/>
      <c r="B193" s="151"/>
      <c r="C193" s="152"/>
      <c r="D193" s="153"/>
      <c r="E193" s="154"/>
      <c r="F193" s="85"/>
      <c r="G193" s="155"/>
      <c r="H193" s="156">
        <f t="shared" si="1"/>
        <v>362243.91</v>
      </c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</row>
    <row r="194">
      <c r="A194" s="150"/>
      <c r="B194" s="151"/>
      <c r="C194" s="152"/>
      <c r="D194" s="153"/>
      <c r="E194" s="154"/>
      <c r="F194" s="85"/>
      <c r="G194" s="155"/>
      <c r="H194" s="156">
        <f t="shared" si="1"/>
        <v>362243.91</v>
      </c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</row>
    <row r="195">
      <c r="A195" s="150"/>
      <c r="B195" s="151"/>
      <c r="C195" s="152"/>
      <c r="D195" s="153"/>
      <c r="E195" s="154"/>
      <c r="F195" s="85"/>
      <c r="G195" s="155"/>
      <c r="H195" s="156">
        <f t="shared" si="1"/>
        <v>362243.91</v>
      </c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</row>
    <row r="196">
      <c r="A196" s="150"/>
      <c r="B196" s="151"/>
      <c r="C196" s="152"/>
      <c r="D196" s="153"/>
      <c r="E196" s="154"/>
      <c r="F196" s="85"/>
      <c r="G196" s="155"/>
      <c r="H196" s="156">
        <f t="shared" si="1"/>
        <v>362243.91</v>
      </c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</row>
    <row r="197">
      <c r="A197" s="150"/>
      <c r="B197" s="151"/>
      <c r="C197" s="152"/>
      <c r="D197" s="153"/>
      <c r="E197" s="154"/>
      <c r="F197" s="85"/>
      <c r="G197" s="155"/>
      <c r="H197" s="156">
        <f t="shared" si="1"/>
        <v>362243.91</v>
      </c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</row>
    <row r="198">
      <c r="A198" s="150"/>
      <c r="B198" s="151"/>
      <c r="C198" s="152"/>
      <c r="D198" s="153"/>
      <c r="E198" s="154"/>
      <c r="F198" s="85"/>
      <c r="G198" s="155"/>
      <c r="H198" s="156">
        <f t="shared" si="1"/>
        <v>362243.91</v>
      </c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</row>
    <row r="199">
      <c r="A199" s="150"/>
      <c r="B199" s="151"/>
      <c r="C199" s="152"/>
      <c r="D199" s="153"/>
      <c r="E199" s="154"/>
      <c r="F199" s="85"/>
      <c r="G199" s="155"/>
      <c r="H199" s="156">
        <f t="shared" si="1"/>
        <v>362243.91</v>
      </c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</row>
    <row r="200">
      <c r="A200" s="150"/>
      <c r="B200" s="151"/>
      <c r="C200" s="152"/>
      <c r="D200" s="153"/>
      <c r="E200" s="154"/>
      <c r="F200" s="85"/>
      <c r="G200" s="155"/>
      <c r="H200" s="156">
        <f t="shared" si="1"/>
        <v>362243.91</v>
      </c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</row>
    <row r="201">
      <c r="A201" s="150"/>
      <c r="B201" s="151"/>
      <c r="C201" s="152"/>
      <c r="D201" s="153"/>
      <c r="E201" s="154"/>
      <c r="F201" s="85"/>
      <c r="G201" s="155"/>
      <c r="H201" s="156">
        <f t="shared" si="1"/>
        <v>362243.91</v>
      </c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</row>
    <row r="202">
      <c r="A202" s="150"/>
      <c r="B202" s="151"/>
      <c r="C202" s="152"/>
      <c r="D202" s="153"/>
      <c r="E202" s="154"/>
      <c r="F202" s="85"/>
      <c r="G202" s="155"/>
      <c r="H202" s="156">
        <f t="shared" si="1"/>
        <v>362243.91</v>
      </c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</row>
    <row r="203">
      <c r="A203" s="150"/>
      <c r="B203" s="151"/>
      <c r="C203" s="152"/>
      <c r="D203" s="153"/>
      <c r="E203" s="154"/>
      <c r="F203" s="85"/>
      <c r="G203" s="155"/>
      <c r="H203" s="156">
        <f t="shared" si="1"/>
        <v>362243.91</v>
      </c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</row>
    <row r="204">
      <c r="A204" s="150"/>
      <c r="B204" s="151"/>
      <c r="C204" s="152"/>
      <c r="D204" s="153"/>
      <c r="E204" s="154"/>
      <c r="F204" s="85"/>
      <c r="G204" s="155"/>
      <c r="H204" s="156">
        <f t="shared" si="1"/>
        <v>362243.91</v>
      </c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</row>
    <row r="205">
      <c r="A205" s="150"/>
      <c r="B205" s="151"/>
      <c r="C205" s="152"/>
      <c r="D205" s="153"/>
      <c r="E205" s="154"/>
      <c r="F205" s="85"/>
      <c r="G205" s="155"/>
      <c r="H205" s="156">
        <f t="shared" si="1"/>
        <v>362243.91</v>
      </c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</row>
    <row r="206">
      <c r="A206" s="150"/>
      <c r="B206" s="151"/>
      <c r="C206" s="152"/>
      <c r="D206" s="153"/>
      <c r="E206" s="154"/>
      <c r="F206" s="85"/>
      <c r="G206" s="155"/>
      <c r="H206" s="156">
        <f t="shared" si="1"/>
        <v>362243.91</v>
      </c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</row>
    <row r="207">
      <c r="A207" s="150"/>
      <c r="B207" s="151"/>
      <c r="C207" s="152"/>
      <c r="D207" s="153"/>
      <c r="E207" s="154"/>
      <c r="F207" s="85"/>
      <c r="G207" s="155"/>
      <c r="H207" s="156">
        <f t="shared" si="1"/>
        <v>362243.91</v>
      </c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</row>
    <row r="208">
      <c r="A208" s="150"/>
      <c r="B208" s="151"/>
      <c r="C208" s="152"/>
      <c r="D208" s="153"/>
      <c r="E208" s="154"/>
      <c r="F208" s="85"/>
      <c r="G208" s="155"/>
      <c r="H208" s="156">
        <f t="shared" si="1"/>
        <v>362243.91</v>
      </c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</row>
    <row r="209">
      <c r="A209" s="150"/>
      <c r="B209" s="151"/>
      <c r="C209" s="152"/>
      <c r="D209" s="153"/>
      <c r="E209" s="154"/>
      <c r="F209" s="85"/>
      <c r="G209" s="155"/>
      <c r="H209" s="156">
        <f t="shared" si="1"/>
        <v>362243.91</v>
      </c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</row>
    <row r="210">
      <c r="A210" s="150"/>
      <c r="B210" s="151"/>
      <c r="C210" s="152"/>
      <c r="D210" s="153"/>
      <c r="E210" s="154"/>
      <c r="F210" s="85"/>
      <c r="G210" s="155"/>
      <c r="H210" s="156">
        <f t="shared" si="1"/>
        <v>362243.91</v>
      </c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</row>
    <row r="211">
      <c r="A211" s="150"/>
      <c r="B211" s="151"/>
      <c r="C211" s="152"/>
      <c r="D211" s="153"/>
      <c r="E211" s="154"/>
      <c r="F211" s="85"/>
      <c r="G211" s="155"/>
      <c r="H211" s="156">
        <f t="shared" si="1"/>
        <v>362243.91</v>
      </c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</row>
    <row r="212">
      <c r="A212" s="150"/>
      <c r="B212" s="151"/>
      <c r="C212" s="152"/>
      <c r="D212" s="153"/>
      <c r="E212" s="154"/>
      <c r="F212" s="85"/>
      <c r="G212" s="155"/>
      <c r="H212" s="156">
        <f t="shared" si="1"/>
        <v>362243.91</v>
      </c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</row>
    <row r="213">
      <c r="A213" s="150"/>
      <c r="B213" s="151"/>
      <c r="C213" s="152"/>
      <c r="D213" s="153"/>
      <c r="E213" s="154"/>
      <c r="F213" s="85"/>
      <c r="G213" s="155"/>
      <c r="H213" s="156">
        <f t="shared" si="1"/>
        <v>362243.91</v>
      </c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</row>
    <row r="214">
      <c r="A214" s="150"/>
      <c r="B214" s="151"/>
      <c r="C214" s="152"/>
      <c r="D214" s="153"/>
      <c r="E214" s="154"/>
      <c r="F214" s="85"/>
      <c r="G214" s="155"/>
      <c r="H214" s="156">
        <f t="shared" si="1"/>
        <v>362243.91</v>
      </c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</row>
    <row r="215">
      <c r="A215" s="150"/>
      <c r="B215" s="151"/>
      <c r="C215" s="152"/>
      <c r="D215" s="153"/>
      <c r="E215" s="154"/>
      <c r="F215" s="85"/>
      <c r="G215" s="155"/>
      <c r="H215" s="156">
        <f t="shared" si="1"/>
        <v>362243.91</v>
      </c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</row>
    <row r="216">
      <c r="A216" s="150"/>
      <c r="B216" s="151"/>
      <c r="C216" s="152"/>
      <c r="D216" s="153"/>
      <c r="E216" s="154"/>
      <c r="F216" s="85"/>
      <c r="G216" s="155"/>
      <c r="H216" s="156">
        <f t="shared" si="1"/>
        <v>362243.91</v>
      </c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</row>
    <row r="217">
      <c r="A217" s="150"/>
      <c r="B217" s="151"/>
      <c r="C217" s="152"/>
      <c r="D217" s="153"/>
      <c r="E217" s="154"/>
      <c r="F217" s="85"/>
      <c r="G217" s="155"/>
      <c r="H217" s="156">
        <f t="shared" si="1"/>
        <v>362243.91</v>
      </c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</row>
    <row r="218">
      <c r="A218" s="150"/>
      <c r="B218" s="151"/>
      <c r="C218" s="152"/>
      <c r="D218" s="153"/>
      <c r="E218" s="154"/>
      <c r="F218" s="85"/>
      <c r="G218" s="155"/>
      <c r="H218" s="156">
        <f t="shared" si="1"/>
        <v>362243.91</v>
      </c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</row>
    <row r="219">
      <c r="A219" s="150"/>
      <c r="B219" s="151"/>
      <c r="C219" s="152"/>
      <c r="D219" s="153"/>
      <c r="E219" s="154"/>
      <c r="F219" s="85"/>
      <c r="G219" s="155"/>
      <c r="H219" s="156">
        <f t="shared" si="1"/>
        <v>362243.91</v>
      </c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</row>
    <row r="220">
      <c r="A220" s="150"/>
      <c r="B220" s="151"/>
      <c r="C220" s="152"/>
      <c r="D220" s="153"/>
      <c r="E220" s="154"/>
      <c r="F220" s="85"/>
      <c r="G220" s="155"/>
      <c r="H220" s="156">
        <f t="shared" si="1"/>
        <v>362243.91</v>
      </c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</row>
    <row r="221">
      <c r="A221" s="150"/>
      <c r="B221" s="151"/>
      <c r="C221" s="152"/>
      <c r="D221" s="153"/>
      <c r="E221" s="154"/>
      <c r="F221" s="85"/>
      <c r="G221" s="155"/>
      <c r="H221" s="156">
        <f t="shared" si="1"/>
        <v>362243.91</v>
      </c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</row>
    <row r="222">
      <c r="A222" s="150"/>
      <c r="B222" s="151"/>
      <c r="C222" s="152"/>
      <c r="D222" s="153"/>
      <c r="E222" s="154"/>
      <c r="F222" s="85"/>
      <c r="G222" s="155"/>
      <c r="H222" s="156">
        <f t="shared" si="1"/>
        <v>362243.91</v>
      </c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</row>
    <row r="223">
      <c r="A223" s="150"/>
      <c r="B223" s="151"/>
      <c r="C223" s="152"/>
      <c r="D223" s="153"/>
      <c r="E223" s="154"/>
      <c r="F223" s="85"/>
      <c r="G223" s="155"/>
      <c r="H223" s="156">
        <f t="shared" si="1"/>
        <v>362243.91</v>
      </c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</row>
    <row r="224">
      <c r="A224" s="150"/>
      <c r="B224" s="151"/>
      <c r="C224" s="152"/>
      <c r="D224" s="153"/>
      <c r="E224" s="154"/>
      <c r="F224" s="85"/>
      <c r="G224" s="155"/>
      <c r="H224" s="156">
        <f t="shared" si="1"/>
        <v>362243.91</v>
      </c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</row>
    <row r="225">
      <c r="A225" s="150"/>
      <c r="B225" s="151"/>
      <c r="C225" s="152"/>
      <c r="D225" s="153"/>
      <c r="E225" s="154"/>
      <c r="F225" s="85"/>
      <c r="G225" s="155"/>
      <c r="H225" s="156">
        <f t="shared" si="1"/>
        <v>362243.91</v>
      </c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</row>
    <row r="226">
      <c r="A226" s="150"/>
      <c r="B226" s="151"/>
      <c r="C226" s="152"/>
      <c r="D226" s="153"/>
      <c r="E226" s="154"/>
      <c r="F226" s="85"/>
      <c r="G226" s="155"/>
      <c r="H226" s="156">
        <f t="shared" si="1"/>
        <v>362243.91</v>
      </c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</row>
    <row r="227">
      <c r="A227" s="150"/>
      <c r="B227" s="151"/>
      <c r="C227" s="152"/>
      <c r="D227" s="153"/>
      <c r="E227" s="154"/>
      <c r="F227" s="85"/>
      <c r="G227" s="155"/>
      <c r="H227" s="156">
        <f t="shared" si="1"/>
        <v>362243.91</v>
      </c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</row>
    <row r="228">
      <c r="A228" s="150"/>
      <c r="B228" s="151"/>
      <c r="C228" s="152"/>
      <c r="D228" s="153"/>
      <c r="E228" s="154"/>
      <c r="F228" s="85"/>
      <c r="G228" s="155"/>
      <c r="H228" s="156">
        <f t="shared" si="1"/>
        <v>362243.91</v>
      </c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</row>
    <row r="229">
      <c r="A229" s="150"/>
      <c r="B229" s="151"/>
      <c r="C229" s="152"/>
      <c r="D229" s="153"/>
      <c r="E229" s="154"/>
      <c r="F229" s="85"/>
      <c r="G229" s="155"/>
      <c r="H229" s="156">
        <f t="shared" si="1"/>
        <v>362243.91</v>
      </c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</row>
    <row r="230">
      <c r="A230" s="150"/>
      <c r="B230" s="151"/>
      <c r="C230" s="152"/>
      <c r="D230" s="153"/>
      <c r="E230" s="154"/>
      <c r="F230" s="85"/>
      <c r="G230" s="155"/>
      <c r="H230" s="156">
        <f t="shared" si="1"/>
        <v>362243.91</v>
      </c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</row>
    <row r="231">
      <c r="A231" s="150"/>
      <c r="B231" s="151"/>
      <c r="C231" s="152"/>
      <c r="D231" s="153"/>
      <c r="E231" s="154"/>
      <c r="F231" s="85"/>
      <c r="G231" s="155"/>
      <c r="H231" s="156">
        <f t="shared" si="1"/>
        <v>362243.91</v>
      </c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</row>
    <row r="232">
      <c r="A232" s="150"/>
      <c r="B232" s="151"/>
      <c r="C232" s="152"/>
      <c r="D232" s="153"/>
      <c r="E232" s="154"/>
      <c r="F232" s="85"/>
      <c r="G232" s="155"/>
      <c r="H232" s="156">
        <f t="shared" si="1"/>
        <v>362243.91</v>
      </c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</row>
    <row r="233">
      <c r="A233" s="150"/>
      <c r="B233" s="151"/>
      <c r="C233" s="152"/>
      <c r="D233" s="153"/>
      <c r="E233" s="154"/>
      <c r="F233" s="85"/>
      <c r="G233" s="155"/>
      <c r="H233" s="156">
        <f t="shared" si="1"/>
        <v>362243.91</v>
      </c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</row>
    <row r="234">
      <c r="A234" s="150"/>
      <c r="B234" s="151"/>
      <c r="C234" s="152"/>
      <c r="D234" s="153"/>
      <c r="E234" s="154"/>
      <c r="F234" s="85"/>
      <c r="G234" s="155"/>
      <c r="H234" s="156">
        <f t="shared" si="1"/>
        <v>362243.91</v>
      </c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</row>
    <row r="235">
      <c r="A235" s="150"/>
      <c r="B235" s="151"/>
      <c r="C235" s="152"/>
      <c r="D235" s="153"/>
      <c r="E235" s="154"/>
      <c r="F235" s="85"/>
      <c r="G235" s="155"/>
      <c r="H235" s="156">
        <f t="shared" si="1"/>
        <v>362243.91</v>
      </c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</row>
    <row r="236">
      <c r="A236" s="150"/>
      <c r="B236" s="151"/>
      <c r="C236" s="152"/>
      <c r="D236" s="153"/>
      <c r="E236" s="154"/>
      <c r="F236" s="85"/>
      <c r="G236" s="155"/>
      <c r="H236" s="156">
        <f t="shared" si="1"/>
        <v>362243.91</v>
      </c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</row>
    <row r="237">
      <c r="A237" s="150"/>
      <c r="B237" s="151"/>
      <c r="C237" s="152"/>
      <c r="D237" s="153"/>
      <c r="E237" s="154"/>
      <c r="F237" s="85"/>
      <c r="G237" s="155"/>
      <c r="H237" s="156">
        <f t="shared" si="1"/>
        <v>362243.91</v>
      </c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</row>
    <row r="238">
      <c r="A238" s="150"/>
      <c r="B238" s="151"/>
      <c r="C238" s="152"/>
      <c r="D238" s="153"/>
      <c r="E238" s="154"/>
      <c r="F238" s="85"/>
      <c r="G238" s="155"/>
      <c r="H238" s="156">
        <f t="shared" si="1"/>
        <v>362243.91</v>
      </c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</row>
    <row r="239">
      <c r="A239" s="150"/>
      <c r="B239" s="151"/>
      <c r="C239" s="152"/>
      <c r="D239" s="153"/>
      <c r="E239" s="154"/>
      <c r="F239" s="85"/>
      <c r="G239" s="155"/>
      <c r="H239" s="156">
        <f t="shared" si="1"/>
        <v>362243.91</v>
      </c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</row>
    <row r="240">
      <c r="A240" s="150"/>
      <c r="B240" s="151"/>
      <c r="C240" s="152"/>
      <c r="D240" s="153"/>
      <c r="E240" s="154"/>
      <c r="F240" s="85"/>
      <c r="G240" s="155"/>
      <c r="H240" s="156">
        <f t="shared" si="1"/>
        <v>362243.91</v>
      </c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</row>
    <row r="241">
      <c r="A241" s="150"/>
      <c r="B241" s="151"/>
      <c r="C241" s="152"/>
      <c r="D241" s="153"/>
      <c r="E241" s="154"/>
      <c r="F241" s="85"/>
      <c r="G241" s="155"/>
      <c r="H241" s="156">
        <f t="shared" si="1"/>
        <v>362243.91</v>
      </c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</row>
    <row r="242">
      <c r="A242" s="150"/>
      <c r="B242" s="151"/>
      <c r="C242" s="152"/>
      <c r="D242" s="153"/>
      <c r="E242" s="154"/>
      <c r="F242" s="85"/>
      <c r="G242" s="155"/>
      <c r="H242" s="156">
        <f t="shared" si="1"/>
        <v>362243.91</v>
      </c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</row>
    <row r="243">
      <c r="A243" s="150"/>
      <c r="B243" s="151"/>
      <c r="C243" s="152"/>
      <c r="D243" s="153"/>
      <c r="E243" s="154"/>
      <c r="F243" s="85"/>
      <c r="G243" s="155"/>
      <c r="H243" s="156">
        <f t="shared" si="1"/>
        <v>362243.91</v>
      </c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</row>
    <row r="244">
      <c r="A244" s="150"/>
      <c r="B244" s="151"/>
      <c r="C244" s="152"/>
      <c r="D244" s="153"/>
      <c r="E244" s="154"/>
      <c r="F244" s="85"/>
      <c r="G244" s="155"/>
      <c r="H244" s="156">
        <f t="shared" si="1"/>
        <v>362243.91</v>
      </c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</row>
    <row r="245">
      <c r="A245" s="150"/>
      <c r="B245" s="151"/>
      <c r="C245" s="152"/>
      <c r="D245" s="153"/>
      <c r="E245" s="154"/>
      <c r="F245" s="85"/>
      <c r="G245" s="155"/>
      <c r="H245" s="156">
        <f t="shared" si="1"/>
        <v>362243.91</v>
      </c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</row>
    <row r="246">
      <c r="A246" s="150"/>
      <c r="B246" s="151"/>
      <c r="C246" s="152"/>
      <c r="D246" s="153"/>
      <c r="E246" s="154"/>
      <c r="F246" s="85"/>
      <c r="G246" s="155"/>
      <c r="H246" s="156">
        <f t="shared" si="1"/>
        <v>362243.91</v>
      </c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</row>
    <row r="247">
      <c r="A247" s="150"/>
      <c r="B247" s="151"/>
      <c r="C247" s="152"/>
      <c r="D247" s="153"/>
      <c r="E247" s="154"/>
      <c r="F247" s="85"/>
      <c r="G247" s="155"/>
      <c r="H247" s="156">
        <f t="shared" si="1"/>
        <v>362243.91</v>
      </c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</row>
    <row r="248">
      <c r="A248" s="150"/>
      <c r="B248" s="151"/>
      <c r="C248" s="152"/>
      <c r="D248" s="153"/>
      <c r="E248" s="154"/>
      <c r="F248" s="85"/>
      <c r="G248" s="155"/>
      <c r="H248" s="156">
        <f t="shared" si="1"/>
        <v>362243.91</v>
      </c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</row>
    <row r="249">
      <c r="A249" s="150"/>
      <c r="B249" s="151"/>
      <c r="C249" s="152"/>
      <c r="D249" s="153"/>
      <c r="E249" s="154"/>
      <c r="F249" s="85"/>
      <c r="G249" s="155"/>
      <c r="H249" s="156">
        <f t="shared" si="1"/>
        <v>362243.91</v>
      </c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</row>
    <row r="250">
      <c r="A250" s="150"/>
      <c r="B250" s="151"/>
      <c r="C250" s="152"/>
      <c r="D250" s="153"/>
      <c r="E250" s="154"/>
      <c r="F250" s="85"/>
      <c r="G250" s="155"/>
      <c r="H250" s="156">
        <f t="shared" si="1"/>
        <v>362243.91</v>
      </c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</row>
    <row r="251">
      <c r="A251" s="150"/>
      <c r="B251" s="151"/>
      <c r="C251" s="152"/>
      <c r="D251" s="153"/>
      <c r="E251" s="154"/>
      <c r="F251" s="85"/>
      <c r="G251" s="155"/>
      <c r="H251" s="156">
        <f t="shared" si="1"/>
        <v>362243.91</v>
      </c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</row>
    <row r="252">
      <c r="A252" s="150"/>
      <c r="B252" s="151"/>
      <c r="C252" s="152"/>
      <c r="D252" s="153"/>
      <c r="E252" s="154"/>
      <c r="F252" s="85"/>
      <c r="G252" s="155"/>
      <c r="H252" s="156">
        <f t="shared" si="1"/>
        <v>362243.91</v>
      </c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</row>
    <row r="253">
      <c r="A253" s="150"/>
      <c r="B253" s="151"/>
      <c r="C253" s="152"/>
      <c r="D253" s="153"/>
      <c r="E253" s="154"/>
      <c r="F253" s="85"/>
      <c r="G253" s="155"/>
      <c r="H253" s="156">
        <f t="shared" si="1"/>
        <v>362243.91</v>
      </c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</row>
    <row r="254">
      <c r="A254" s="150"/>
      <c r="B254" s="151"/>
      <c r="C254" s="152"/>
      <c r="D254" s="153"/>
      <c r="E254" s="154"/>
      <c r="F254" s="85"/>
      <c r="G254" s="155"/>
      <c r="H254" s="156">
        <f t="shared" si="1"/>
        <v>362243.91</v>
      </c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</row>
    <row r="255">
      <c r="A255" s="150"/>
      <c r="B255" s="151"/>
      <c r="C255" s="152"/>
      <c r="D255" s="153"/>
      <c r="E255" s="154"/>
      <c r="F255" s="85"/>
      <c r="G255" s="155"/>
      <c r="H255" s="156">
        <f t="shared" si="1"/>
        <v>362243.91</v>
      </c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</row>
    <row r="256">
      <c r="A256" s="150"/>
      <c r="B256" s="151"/>
      <c r="C256" s="152"/>
      <c r="D256" s="153"/>
      <c r="E256" s="154"/>
      <c r="F256" s="85"/>
      <c r="G256" s="155"/>
      <c r="H256" s="156">
        <f t="shared" si="1"/>
        <v>362243.91</v>
      </c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</row>
    <row r="257">
      <c r="A257" s="150"/>
      <c r="B257" s="151"/>
      <c r="C257" s="152"/>
      <c r="D257" s="153"/>
      <c r="E257" s="154"/>
      <c r="F257" s="85"/>
      <c r="G257" s="155"/>
      <c r="H257" s="156">
        <f t="shared" si="1"/>
        <v>362243.91</v>
      </c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</row>
    <row r="258">
      <c r="A258" s="150"/>
      <c r="B258" s="151"/>
      <c r="C258" s="152"/>
      <c r="D258" s="153"/>
      <c r="E258" s="154"/>
      <c r="F258" s="85"/>
      <c r="G258" s="155"/>
      <c r="H258" s="156">
        <f t="shared" si="1"/>
        <v>362243.91</v>
      </c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</row>
    <row r="259">
      <c r="A259" s="150"/>
      <c r="B259" s="151"/>
      <c r="C259" s="152"/>
      <c r="D259" s="153"/>
      <c r="E259" s="154"/>
      <c r="F259" s="85"/>
      <c r="G259" s="155"/>
      <c r="H259" s="156">
        <f t="shared" si="1"/>
        <v>362243.91</v>
      </c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</row>
    <row r="260">
      <c r="A260" s="150"/>
      <c r="B260" s="151"/>
      <c r="C260" s="152"/>
      <c r="D260" s="153"/>
      <c r="E260" s="154"/>
      <c r="F260" s="85"/>
      <c r="G260" s="155"/>
      <c r="H260" s="156">
        <f t="shared" si="1"/>
        <v>362243.91</v>
      </c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</row>
    <row r="261">
      <c r="A261" s="150"/>
      <c r="B261" s="151"/>
      <c r="C261" s="152"/>
      <c r="D261" s="153"/>
      <c r="E261" s="154"/>
      <c r="F261" s="85"/>
      <c r="G261" s="155"/>
      <c r="H261" s="156">
        <f t="shared" si="1"/>
        <v>362243.91</v>
      </c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</row>
    <row r="262">
      <c r="A262" s="150"/>
      <c r="B262" s="151"/>
      <c r="C262" s="152"/>
      <c r="D262" s="153"/>
      <c r="E262" s="154"/>
      <c r="F262" s="85"/>
      <c r="G262" s="155"/>
      <c r="H262" s="156">
        <f t="shared" si="1"/>
        <v>362243.91</v>
      </c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</row>
    <row r="263">
      <c r="A263" s="150"/>
      <c r="B263" s="151"/>
      <c r="C263" s="152"/>
      <c r="D263" s="153"/>
      <c r="E263" s="154"/>
      <c r="F263" s="85"/>
      <c r="G263" s="155"/>
      <c r="H263" s="156">
        <f t="shared" si="1"/>
        <v>362243.91</v>
      </c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</row>
    <row r="264">
      <c r="A264" s="150"/>
      <c r="B264" s="151"/>
      <c r="C264" s="152"/>
      <c r="D264" s="153"/>
      <c r="E264" s="154"/>
      <c r="F264" s="85"/>
      <c r="G264" s="155"/>
      <c r="H264" s="156">
        <f t="shared" si="1"/>
        <v>362243.91</v>
      </c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</row>
    <row r="265">
      <c r="A265" s="150"/>
      <c r="B265" s="151"/>
      <c r="C265" s="152"/>
      <c r="D265" s="153"/>
      <c r="E265" s="154"/>
      <c r="F265" s="85"/>
      <c r="G265" s="155"/>
      <c r="H265" s="156">
        <f t="shared" si="1"/>
        <v>362243.91</v>
      </c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</row>
    <row r="266">
      <c r="A266" s="150"/>
      <c r="B266" s="151"/>
      <c r="C266" s="152"/>
      <c r="D266" s="153"/>
      <c r="E266" s="154"/>
      <c r="F266" s="85"/>
      <c r="G266" s="155"/>
      <c r="H266" s="156">
        <f t="shared" si="1"/>
        <v>362243.91</v>
      </c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</row>
    <row r="267">
      <c r="A267" s="150"/>
      <c r="B267" s="151"/>
      <c r="C267" s="152"/>
      <c r="D267" s="153"/>
      <c r="E267" s="154"/>
      <c r="F267" s="85"/>
      <c r="G267" s="155"/>
      <c r="H267" s="156">
        <f t="shared" si="1"/>
        <v>362243.91</v>
      </c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</row>
    <row r="268">
      <c r="A268" s="150"/>
      <c r="B268" s="151"/>
      <c r="C268" s="152"/>
      <c r="D268" s="153"/>
      <c r="E268" s="154"/>
      <c r="F268" s="85"/>
      <c r="G268" s="155"/>
      <c r="H268" s="156">
        <f t="shared" si="1"/>
        <v>362243.91</v>
      </c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</row>
    <row r="269">
      <c r="A269" s="150"/>
      <c r="B269" s="151"/>
      <c r="C269" s="152"/>
      <c r="D269" s="153"/>
      <c r="E269" s="154"/>
      <c r="F269" s="85"/>
      <c r="G269" s="155"/>
      <c r="H269" s="156">
        <f t="shared" si="1"/>
        <v>362243.91</v>
      </c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</row>
    <row r="270">
      <c r="A270" s="150"/>
      <c r="B270" s="151"/>
      <c r="C270" s="152"/>
      <c r="D270" s="153"/>
      <c r="E270" s="154"/>
      <c r="F270" s="85"/>
      <c r="G270" s="155"/>
      <c r="H270" s="156">
        <f t="shared" si="1"/>
        <v>362243.91</v>
      </c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</row>
    <row r="271">
      <c r="A271" s="150"/>
      <c r="B271" s="151"/>
      <c r="C271" s="152"/>
      <c r="D271" s="153"/>
      <c r="E271" s="154"/>
      <c r="F271" s="85"/>
      <c r="G271" s="155"/>
      <c r="H271" s="156">
        <f t="shared" si="1"/>
        <v>362243.91</v>
      </c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</row>
    <row r="272">
      <c r="A272" s="150"/>
      <c r="B272" s="151"/>
      <c r="C272" s="152"/>
      <c r="D272" s="153"/>
      <c r="E272" s="154"/>
      <c r="F272" s="85"/>
      <c r="G272" s="155"/>
      <c r="H272" s="156">
        <f t="shared" si="1"/>
        <v>362243.91</v>
      </c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</row>
    <row r="273">
      <c r="A273" s="150"/>
      <c r="B273" s="151"/>
      <c r="C273" s="152"/>
      <c r="D273" s="153"/>
      <c r="E273" s="154"/>
      <c r="F273" s="85"/>
      <c r="G273" s="155"/>
      <c r="H273" s="156">
        <f t="shared" si="1"/>
        <v>362243.91</v>
      </c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</row>
    <row r="274">
      <c r="A274" s="150"/>
      <c r="B274" s="151"/>
      <c r="C274" s="152"/>
      <c r="D274" s="153"/>
      <c r="E274" s="154"/>
      <c r="F274" s="85"/>
      <c r="G274" s="155"/>
      <c r="H274" s="156">
        <f t="shared" si="1"/>
        <v>362243.91</v>
      </c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</row>
    <row r="275">
      <c r="A275" s="150"/>
      <c r="B275" s="151"/>
      <c r="C275" s="152"/>
      <c r="D275" s="153"/>
      <c r="E275" s="154"/>
      <c r="F275" s="85"/>
      <c r="G275" s="155"/>
      <c r="H275" s="156">
        <f t="shared" si="1"/>
        <v>362243.91</v>
      </c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</row>
    <row r="276">
      <c r="A276" s="150"/>
      <c r="B276" s="151"/>
      <c r="C276" s="152"/>
      <c r="D276" s="153"/>
      <c r="E276" s="154"/>
      <c r="F276" s="85"/>
      <c r="G276" s="155"/>
      <c r="H276" s="156">
        <f t="shared" si="1"/>
        <v>362243.91</v>
      </c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</row>
    <row r="277">
      <c r="A277" s="150"/>
      <c r="B277" s="151"/>
      <c r="C277" s="152"/>
      <c r="D277" s="153"/>
      <c r="E277" s="154"/>
      <c r="F277" s="85"/>
      <c r="G277" s="155"/>
      <c r="H277" s="156">
        <f t="shared" si="1"/>
        <v>362243.91</v>
      </c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</row>
    <row r="278">
      <c r="A278" s="150"/>
      <c r="B278" s="151"/>
      <c r="C278" s="152"/>
      <c r="D278" s="153"/>
      <c r="E278" s="154"/>
      <c r="F278" s="85"/>
      <c r="G278" s="155"/>
      <c r="H278" s="156">
        <f t="shared" si="1"/>
        <v>362243.91</v>
      </c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</row>
    <row r="279">
      <c r="A279" s="150"/>
      <c r="B279" s="151"/>
      <c r="C279" s="152"/>
      <c r="D279" s="153"/>
      <c r="E279" s="154"/>
      <c r="F279" s="85"/>
      <c r="G279" s="155"/>
      <c r="H279" s="156">
        <f t="shared" si="1"/>
        <v>362243.91</v>
      </c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</row>
    <row r="280">
      <c r="A280" s="150"/>
      <c r="B280" s="151"/>
      <c r="C280" s="152"/>
      <c r="D280" s="153"/>
      <c r="E280" s="154"/>
      <c r="F280" s="85"/>
      <c r="G280" s="155"/>
      <c r="H280" s="156">
        <f t="shared" si="1"/>
        <v>362243.91</v>
      </c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</row>
    <row r="281">
      <c r="A281" s="150"/>
      <c r="B281" s="151"/>
      <c r="C281" s="152"/>
      <c r="D281" s="153"/>
      <c r="E281" s="154"/>
      <c r="F281" s="85"/>
      <c r="G281" s="155"/>
      <c r="H281" s="156">
        <f t="shared" si="1"/>
        <v>362243.91</v>
      </c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</row>
    <row r="282">
      <c r="A282" s="150"/>
      <c r="B282" s="151"/>
      <c r="C282" s="152"/>
      <c r="D282" s="153"/>
      <c r="E282" s="154"/>
      <c r="F282" s="85"/>
      <c r="G282" s="155"/>
      <c r="H282" s="156">
        <f t="shared" si="1"/>
        <v>362243.91</v>
      </c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</row>
    <row r="283">
      <c r="A283" s="150"/>
      <c r="B283" s="151"/>
      <c r="C283" s="152"/>
      <c r="D283" s="153"/>
      <c r="E283" s="154"/>
      <c r="F283" s="85"/>
      <c r="G283" s="155"/>
      <c r="H283" s="156">
        <f t="shared" si="1"/>
        <v>362243.91</v>
      </c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</row>
    <row r="284">
      <c r="A284" s="150"/>
      <c r="B284" s="151"/>
      <c r="C284" s="152"/>
      <c r="D284" s="153"/>
      <c r="E284" s="154"/>
      <c r="F284" s="85"/>
      <c r="G284" s="155"/>
      <c r="H284" s="156">
        <f t="shared" si="1"/>
        <v>362243.91</v>
      </c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</row>
    <row r="285">
      <c r="A285" s="150"/>
      <c r="B285" s="151"/>
      <c r="C285" s="152"/>
      <c r="D285" s="153"/>
      <c r="E285" s="154"/>
      <c r="F285" s="85"/>
      <c r="G285" s="155"/>
      <c r="H285" s="156">
        <f t="shared" si="1"/>
        <v>362243.91</v>
      </c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</row>
    <row r="286">
      <c r="A286" s="150"/>
      <c r="B286" s="151"/>
      <c r="C286" s="152"/>
      <c r="D286" s="153"/>
      <c r="E286" s="154"/>
      <c r="F286" s="85"/>
      <c r="G286" s="155"/>
      <c r="H286" s="156">
        <f t="shared" si="1"/>
        <v>362243.91</v>
      </c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</row>
    <row r="287">
      <c r="A287" s="150"/>
      <c r="B287" s="151"/>
      <c r="C287" s="152"/>
      <c r="D287" s="153"/>
      <c r="E287" s="154"/>
      <c r="F287" s="85"/>
      <c r="G287" s="155"/>
      <c r="H287" s="156">
        <f t="shared" si="1"/>
        <v>362243.91</v>
      </c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</row>
    <row r="288">
      <c r="A288" s="150"/>
      <c r="B288" s="151"/>
      <c r="C288" s="152"/>
      <c r="D288" s="153"/>
      <c r="E288" s="154"/>
      <c r="F288" s="85"/>
      <c r="G288" s="155"/>
      <c r="H288" s="156">
        <f t="shared" si="1"/>
        <v>362243.91</v>
      </c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</row>
    <row r="289">
      <c r="A289" s="150"/>
      <c r="B289" s="151"/>
      <c r="C289" s="152"/>
      <c r="D289" s="153"/>
      <c r="E289" s="154"/>
      <c r="F289" s="85"/>
      <c r="G289" s="155"/>
      <c r="H289" s="156">
        <f t="shared" si="1"/>
        <v>362243.91</v>
      </c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</row>
    <row r="290">
      <c r="A290" s="150"/>
      <c r="B290" s="151"/>
      <c r="C290" s="152"/>
      <c r="D290" s="153"/>
      <c r="E290" s="154"/>
      <c r="F290" s="85"/>
      <c r="G290" s="155"/>
      <c r="H290" s="156">
        <f t="shared" si="1"/>
        <v>362243.91</v>
      </c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</row>
    <row r="291">
      <c r="A291" s="150"/>
      <c r="B291" s="151"/>
      <c r="C291" s="152"/>
      <c r="D291" s="153"/>
      <c r="E291" s="154"/>
      <c r="F291" s="85"/>
      <c r="G291" s="155"/>
      <c r="H291" s="156">
        <f t="shared" si="1"/>
        <v>362243.91</v>
      </c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</row>
    <row r="292">
      <c r="A292" s="150"/>
      <c r="B292" s="151"/>
      <c r="C292" s="152"/>
      <c r="D292" s="153"/>
      <c r="E292" s="154"/>
      <c r="F292" s="85"/>
      <c r="G292" s="155"/>
      <c r="H292" s="156">
        <f t="shared" si="1"/>
        <v>362243.91</v>
      </c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</row>
    <row r="293">
      <c r="A293" s="150"/>
      <c r="B293" s="151"/>
      <c r="C293" s="152"/>
      <c r="D293" s="153"/>
      <c r="E293" s="154"/>
      <c r="F293" s="85"/>
      <c r="G293" s="155"/>
      <c r="H293" s="156">
        <f t="shared" si="1"/>
        <v>362243.91</v>
      </c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</row>
    <row r="294">
      <c r="A294" s="150"/>
      <c r="B294" s="151"/>
      <c r="C294" s="152"/>
      <c r="D294" s="153"/>
      <c r="E294" s="154"/>
      <c r="F294" s="85"/>
      <c r="G294" s="155"/>
      <c r="H294" s="156">
        <f t="shared" si="1"/>
        <v>362243.91</v>
      </c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</row>
    <row r="295">
      <c r="A295" s="150"/>
      <c r="B295" s="151"/>
      <c r="C295" s="152"/>
      <c r="D295" s="153"/>
      <c r="E295" s="154"/>
      <c r="F295" s="85"/>
      <c r="G295" s="155"/>
      <c r="H295" s="156">
        <f t="shared" si="1"/>
        <v>362243.91</v>
      </c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</row>
    <row r="296">
      <c r="A296" s="150"/>
      <c r="B296" s="151"/>
      <c r="C296" s="152"/>
      <c r="D296" s="153"/>
      <c r="E296" s="154"/>
      <c r="F296" s="85"/>
      <c r="G296" s="155"/>
      <c r="H296" s="156">
        <f t="shared" si="1"/>
        <v>362243.91</v>
      </c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</row>
    <row r="297">
      <c r="A297" s="150"/>
      <c r="B297" s="151"/>
      <c r="C297" s="152"/>
      <c r="D297" s="153"/>
      <c r="E297" s="154"/>
      <c r="F297" s="85"/>
      <c r="G297" s="155"/>
      <c r="H297" s="156">
        <f t="shared" si="1"/>
        <v>362243.91</v>
      </c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</row>
    <row r="298">
      <c r="A298" s="150"/>
      <c r="B298" s="151"/>
      <c r="C298" s="152"/>
      <c r="D298" s="153"/>
      <c r="E298" s="154"/>
      <c r="F298" s="85"/>
      <c r="G298" s="155"/>
      <c r="H298" s="156">
        <f t="shared" si="1"/>
        <v>362243.91</v>
      </c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</row>
    <row r="299">
      <c r="A299" s="150"/>
      <c r="B299" s="151"/>
      <c r="C299" s="152"/>
      <c r="D299" s="153"/>
      <c r="E299" s="154"/>
      <c r="F299" s="85"/>
      <c r="G299" s="155"/>
      <c r="H299" s="156">
        <f t="shared" si="1"/>
        <v>362243.91</v>
      </c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</row>
    <row r="300">
      <c r="A300" s="150"/>
      <c r="B300" s="151"/>
      <c r="C300" s="152"/>
      <c r="D300" s="153"/>
      <c r="E300" s="154"/>
      <c r="F300" s="85"/>
      <c r="G300" s="155"/>
      <c r="H300" s="156">
        <f t="shared" si="1"/>
        <v>362243.91</v>
      </c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</row>
    <row r="301">
      <c r="A301" s="150"/>
      <c r="B301" s="151"/>
      <c r="C301" s="152"/>
      <c r="D301" s="153"/>
      <c r="E301" s="154"/>
      <c r="F301" s="85"/>
      <c r="G301" s="155"/>
      <c r="H301" s="156">
        <f t="shared" si="1"/>
        <v>362243.91</v>
      </c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</row>
    <row r="302">
      <c r="A302" s="150"/>
      <c r="B302" s="151"/>
      <c r="C302" s="152"/>
      <c r="D302" s="153"/>
      <c r="E302" s="154"/>
      <c r="F302" s="85"/>
      <c r="G302" s="155"/>
      <c r="H302" s="156">
        <f t="shared" si="1"/>
        <v>362243.91</v>
      </c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</row>
    <row r="303">
      <c r="A303" s="150"/>
      <c r="B303" s="151"/>
      <c r="C303" s="152"/>
      <c r="D303" s="153"/>
      <c r="E303" s="154"/>
      <c r="F303" s="85"/>
      <c r="G303" s="155"/>
      <c r="H303" s="156">
        <f t="shared" si="1"/>
        <v>362243.91</v>
      </c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</row>
    <row r="304">
      <c r="A304" s="150"/>
      <c r="B304" s="151"/>
      <c r="C304" s="152"/>
      <c r="D304" s="153"/>
      <c r="E304" s="154"/>
      <c r="F304" s="85"/>
      <c r="G304" s="155"/>
      <c r="H304" s="156">
        <f t="shared" si="1"/>
        <v>362243.91</v>
      </c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</row>
    <row r="305">
      <c r="A305" s="150"/>
      <c r="B305" s="151"/>
      <c r="C305" s="152"/>
      <c r="D305" s="153"/>
      <c r="E305" s="154"/>
      <c r="F305" s="85"/>
      <c r="G305" s="155"/>
      <c r="H305" s="156">
        <f t="shared" si="1"/>
        <v>362243.91</v>
      </c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</row>
    <row r="306">
      <c r="A306" s="150"/>
      <c r="B306" s="151"/>
      <c r="C306" s="152"/>
      <c r="D306" s="153"/>
      <c r="E306" s="154"/>
      <c r="F306" s="85"/>
      <c r="G306" s="155"/>
      <c r="H306" s="156">
        <f t="shared" si="1"/>
        <v>362243.91</v>
      </c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</row>
    <row r="307">
      <c r="A307" s="150"/>
      <c r="B307" s="151"/>
      <c r="C307" s="152"/>
      <c r="D307" s="153"/>
      <c r="E307" s="154"/>
      <c r="F307" s="85"/>
      <c r="G307" s="155"/>
      <c r="H307" s="156">
        <f t="shared" si="1"/>
        <v>362243.91</v>
      </c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</row>
    <row r="308">
      <c r="A308" s="150"/>
      <c r="B308" s="151"/>
      <c r="C308" s="152"/>
      <c r="D308" s="153"/>
      <c r="E308" s="154"/>
      <c r="F308" s="85"/>
      <c r="G308" s="155"/>
      <c r="H308" s="156">
        <f t="shared" si="1"/>
        <v>362243.91</v>
      </c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</row>
    <row r="309">
      <c r="A309" s="150"/>
      <c r="B309" s="151"/>
      <c r="C309" s="152"/>
      <c r="D309" s="153"/>
      <c r="E309" s="154"/>
      <c r="F309" s="85"/>
      <c r="G309" s="155"/>
      <c r="H309" s="156">
        <f t="shared" si="1"/>
        <v>362243.91</v>
      </c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</row>
    <row r="310">
      <c r="A310" s="150"/>
      <c r="B310" s="151"/>
      <c r="C310" s="152"/>
      <c r="D310" s="153"/>
      <c r="E310" s="154"/>
      <c r="F310" s="85"/>
      <c r="G310" s="155"/>
      <c r="H310" s="156">
        <f t="shared" si="1"/>
        <v>362243.91</v>
      </c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</row>
    <row r="311">
      <c r="A311" s="150"/>
      <c r="B311" s="151"/>
      <c r="C311" s="152"/>
      <c r="D311" s="153"/>
      <c r="E311" s="154"/>
      <c r="F311" s="85"/>
      <c r="G311" s="155"/>
      <c r="H311" s="156">
        <f t="shared" si="1"/>
        <v>362243.91</v>
      </c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</row>
    <row r="312">
      <c r="A312" s="150"/>
      <c r="B312" s="151"/>
      <c r="C312" s="152"/>
      <c r="D312" s="153"/>
      <c r="E312" s="154"/>
      <c r="F312" s="85"/>
      <c r="G312" s="155"/>
      <c r="H312" s="156">
        <f t="shared" si="1"/>
        <v>362243.91</v>
      </c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</row>
    <row r="313">
      <c r="A313" s="150"/>
      <c r="B313" s="151"/>
      <c r="C313" s="152"/>
      <c r="D313" s="153"/>
      <c r="E313" s="154"/>
      <c r="F313" s="85"/>
      <c r="G313" s="155"/>
      <c r="H313" s="156">
        <f t="shared" si="1"/>
        <v>362243.91</v>
      </c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</row>
    <row r="314">
      <c r="A314" s="150"/>
      <c r="B314" s="151"/>
      <c r="C314" s="152"/>
      <c r="D314" s="153"/>
      <c r="E314" s="154"/>
      <c r="F314" s="85"/>
      <c r="G314" s="155"/>
      <c r="H314" s="156">
        <f t="shared" si="1"/>
        <v>362243.91</v>
      </c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</row>
    <row r="315">
      <c r="A315" s="150"/>
      <c r="B315" s="151"/>
      <c r="C315" s="152"/>
      <c r="D315" s="153"/>
      <c r="E315" s="154"/>
      <c r="F315" s="85"/>
      <c r="G315" s="155"/>
      <c r="H315" s="156">
        <f t="shared" si="1"/>
        <v>362243.91</v>
      </c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</row>
    <row r="316">
      <c r="A316" s="150"/>
      <c r="B316" s="151"/>
      <c r="C316" s="152"/>
      <c r="D316" s="153"/>
      <c r="E316" s="154"/>
      <c r="F316" s="85"/>
      <c r="G316" s="155"/>
      <c r="H316" s="156">
        <f t="shared" si="1"/>
        <v>362243.91</v>
      </c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</row>
    <row r="317">
      <c r="A317" s="150"/>
      <c r="B317" s="151"/>
      <c r="C317" s="152"/>
      <c r="D317" s="153"/>
      <c r="E317" s="154"/>
      <c r="F317" s="85"/>
      <c r="G317" s="155"/>
      <c r="H317" s="156">
        <f t="shared" si="1"/>
        <v>362243.91</v>
      </c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</row>
    <row r="318">
      <c r="A318" s="150"/>
      <c r="B318" s="151"/>
      <c r="C318" s="152"/>
      <c r="D318" s="153"/>
      <c r="E318" s="154"/>
      <c r="F318" s="85"/>
      <c r="G318" s="155"/>
      <c r="H318" s="156">
        <f t="shared" si="1"/>
        <v>362243.91</v>
      </c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</row>
    <row r="319">
      <c r="A319" s="150"/>
      <c r="B319" s="151"/>
      <c r="C319" s="152"/>
      <c r="D319" s="153"/>
      <c r="E319" s="154"/>
      <c r="F319" s="85"/>
      <c r="G319" s="155"/>
      <c r="H319" s="156">
        <f t="shared" si="1"/>
        <v>362243.91</v>
      </c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</row>
    <row r="320">
      <c r="A320" s="150"/>
      <c r="B320" s="151"/>
      <c r="C320" s="152"/>
      <c r="D320" s="153"/>
      <c r="E320" s="154"/>
      <c r="F320" s="85"/>
      <c r="G320" s="155"/>
      <c r="H320" s="156">
        <f t="shared" si="1"/>
        <v>362243.91</v>
      </c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</row>
    <row r="321">
      <c r="A321" s="150"/>
      <c r="B321" s="151"/>
      <c r="C321" s="152"/>
      <c r="D321" s="153"/>
      <c r="E321" s="154"/>
      <c r="F321" s="85"/>
      <c r="G321" s="155"/>
      <c r="H321" s="156">
        <f t="shared" si="1"/>
        <v>362243.91</v>
      </c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</row>
    <row r="322">
      <c r="A322" s="150"/>
      <c r="B322" s="151"/>
      <c r="C322" s="152"/>
      <c r="D322" s="153"/>
      <c r="E322" s="154"/>
      <c r="F322" s="85"/>
      <c r="G322" s="155"/>
      <c r="H322" s="156">
        <f t="shared" si="1"/>
        <v>362243.91</v>
      </c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</row>
    <row r="323">
      <c r="A323" s="150"/>
      <c r="B323" s="151"/>
      <c r="C323" s="152"/>
      <c r="D323" s="153"/>
      <c r="E323" s="154"/>
      <c r="F323" s="85"/>
      <c r="G323" s="155"/>
      <c r="H323" s="156">
        <f t="shared" si="1"/>
        <v>362243.91</v>
      </c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</row>
    <row r="324">
      <c r="A324" s="150"/>
      <c r="B324" s="151"/>
      <c r="C324" s="152"/>
      <c r="D324" s="153"/>
      <c r="E324" s="154"/>
      <c r="F324" s="85"/>
      <c r="G324" s="155"/>
      <c r="H324" s="156">
        <f t="shared" si="1"/>
        <v>362243.91</v>
      </c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</row>
    <row r="325">
      <c r="A325" s="150"/>
      <c r="B325" s="151"/>
      <c r="C325" s="152"/>
      <c r="D325" s="153"/>
      <c r="E325" s="154"/>
      <c r="F325" s="85"/>
      <c r="G325" s="155"/>
      <c r="H325" s="156">
        <f t="shared" si="1"/>
        <v>362243.91</v>
      </c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</row>
    <row r="326">
      <c r="A326" s="150"/>
      <c r="B326" s="151"/>
      <c r="C326" s="152"/>
      <c r="D326" s="153"/>
      <c r="E326" s="154"/>
      <c r="F326" s="85"/>
      <c r="G326" s="155"/>
      <c r="H326" s="156">
        <f t="shared" si="1"/>
        <v>362243.91</v>
      </c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</row>
    <row r="327">
      <c r="A327" s="150"/>
      <c r="B327" s="151"/>
      <c r="C327" s="152"/>
      <c r="D327" s="153"/>
      <c r="E327" s="154"/>
      <c r="F327" s="85"/>
      <c r="G327" s="155"/>
      <c r="H327" s="156">
        <f t="shared" si="1"/>
        <v>362243.91</v>
      </c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</row>
    <row r="328">
      <c r="A328" s="150"/>
      <c r="B328" s="151"/>
      <c r="C328" s="152"/>
      <c r="D328" s="153"/>
      <c r="E328" s="154"/>
      <c r="F328" s="85"/>
      <c r="G328" s="155"/>
      <c r="H328" s="156">
        <f t="shared" si="1"/>
        <v>362243.91</v>
      </c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</row>
    <row r="329">
      <c r="A329" s="150"/>
      <c r="B329" s="151"/>
      <c r="C329" s="152"/>
      <c r="D329" s="153"/>
      <c r="E329" s="154"/>
      <c r="F329" s="85"/>
      <c r="G329" s="155"/>
      <c r="H329" s="156">
        <f t="shared" si="1"/>
        <v>362243.91</v>
      </c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</row>
    <row r="330">
      <c r="A330" s="150"/>
      <c r="B330" s="151"/>
      <c r="C330" s="152"/>
      <c r="D330" s="153"/>
      <c r="E330" s="154"/>
      <c r="F330" s="85"/>
      <c r="G330" s="155"/>
      <c r="H330" s="156">
        <f t="shared" si="1"/>
        <v>362243.91</v>
      </c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</row>
    <row r="331">
      <c r="A331" s="150"/>
      <c r="B331" s="151"/>
      <c r="C331" s="152"/>
      <c r="D331" s="153"/>
      <c r="E331" s="154"/>
      <c r="F331" s="85"/>
      <c r="G331" s="155"/>
      <c r="H331" s="156">
        <f t="shared" si="1"/>
        <v>362243.91</v>
      </c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</row>
    <row r="332">
      <c r="A332" s="150"/>
      <c r="B332" s="151"/>
      <c r="C332" s="152"/>
      <c r="D332" s="153"/>
      <c r="E332" s="154"/>
      <c r="F332" s="85"/>
      <c r="G332" s="155"/>
      <c r="H332" s="156">
        <f t="shared" si="1"/>
        <v>362243.91</v>
      </c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</row>
    <row r="333">
      <c r="A333" s="150"/>
      <c r="B333" s="151"/>
      <c r="C333" s="152"/>
      <c r="D333" s="153"/>
      <c r="E333" s="154"/>
      <c r="F333" s="85"/>
      <c r="G333" s="155"/>
      <c r="H333" s="156">
        <f t="shared" si="1"/>
        <v>362243.91</v>
      </c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</row>
    <row r="334">
      <c r="A334" s="150"/>
      <c r="B334" s="151"/>
      <c r="C334" s="152"/>
      <c r="D334" s="153"/>
      <c r="E334" s="154"/>
      <c r="F334" s="85"/>
      <c r="G334" s="155"/>
      <c r="H334" s="156">
        <f t="shared" si="1"/>
        <v>362243.91</v>
      </c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</row>
    <row r="335">
      <c r="A335" s="150"/>
      <c r="B335" s="151"/>
      <c r="C335" s="152"/>
      <c r="D335" s="153"/>
      <c r="E335" s="154"/>
      <c r="F335" s="85"/>
      <c r="G335" s="155"/>
      <c r="H335" s="156">
        <f t="shared" si="1"/>
        <v>362243.91</v>
      </c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</row>
    <row r="336">
      <c r="A336" s="150"/>
      <c r="B336" s="151"/>
      <c r="C336" s="152"/>
      <c r="D336" s="153"/>
      <c r="E336" s="154"/>
      <c r="F336" s="85"/>
      <c r="G336" s="155"/>
      <c r="H336" s="156">
        <f t="shared" si="1"/>
        <v>362243.91</v>
      </c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</row>
    <row r="337">
      <c r="A337" s="150"/>
      <c r="B337" s="151"/>
      <c r="C337" s="152"/>
      <c r="D337" s="153"/>
      <c r="E337" s="154"/>
      <c r="F337" s="85"/>
      <c r="G337" s="155"/>
      <c r="H337" s="156">
        <f t="shared" si="1"/>
        <v>362243.91</v>
      </c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</row>
    <row r="338">
      <c r="A338" s="150"/>
      <c r="B338" s="151"/>
      <c r="C338" s="152"/>
      <c r="D338" s="153"/>
      <c r="E338" s="154"/>
      <c r="F338" s="85"/>
      <c r="G338" s="155"/>
      <c r="H338" s="156">
        <f t="shared" si="1"/>
        <v>362243.91</v>
      </c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</row>
    <row r="339">
      <c r="A339" s="150"/>
      <c r="B339" s="151"/>
      <c r="C339" s="152"/>
      <c r="D339" s="153"/>
      <c r="E339" s="154"/>
      <c r="F339" s="85"/>
      <c r="G339" s="155"/>
      <c r="H339" s="156">
        <f t="shared" si="1"/>
        <v>362243.91</v>
      </c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</row>
    <row r="340">
      <c r="A340" s="150"/>
      <c r="B340" s="151"/>
      <c r="C340" s="152"/>
      <c r="D340" s="153"/>
      <c r="E340" s="154"/>
      <c r="F340" s="85"/>
      <c r="G340" s="155"/>
      <c r="H340" s="156">
        <f t="shared" si="1"/>
        <v>362243.91</v>
      </c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</row>
    <row r="341">
      <c r="A341" s="150"/>
      <c r="B341" s="151"/>
      <c r="C341" s="152"/>
      <c r="D341" s="153"/>
      <c r="E341" s="154"/>
      <c r="F341" s="85"/>
      <c r="G341" s="155"/>
      <c r="H341" s="156">
        <f t="shared" si="1"/>
        <v>362243.91</v>
      </c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</row>
    <row r="342">
      <c r="A342" s="150"/>
      <c r="B342" s="151"/>
      <c r="C342" s="152"/>
      <c r="D342" s="153"/>
      <c r="E342" s="154"/>
      <c r="F342" s="85"/>
      <c r="G342" s="155"/>
      <c r="H342" s="156">
        <f t="shared" si="1"/>
        <v>362243.91</v>
      </c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</row>
    <row r="343">
      <c r="A343" s="150"/>
      <c r="B343" s="151"/>
      <c r="C343" s="152"/>
      <c r="D343" s="153"/>
      <c r="E343" s="154"/>
      <c r="F343" s="85"/>
      <c r="G343" s="155"/>
      <c r="H343" s="156">
        <f t="shared" si="1"/>
        <v>362243.91</v>
      </c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</row>
    <row r="344">
      <c r="A344" s="150"/>
      <c r="B344" s="151"/>
      <c r="C344" s="152"/>
      <c r="D344" s="153"/>
      <c r="E344" s="154"/>
      <c r="F344" s="85"/>
      <c r="G344" s="155"/>
      <c r="H344" s="156">
        <f t="shared" si="1"/>
        <v>362243.91</v>
      </c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</row>
    <row r="345">
      <c r="A345" s="150"/>
      <c r="B345" s="151"/>
      <c r="C345" s="152"/>
      <c r="D345" s="153"/>
      <c r="E345" s="154"/>
      <c r="F345" s="85"/>
      <c r="G345" s="155"/>
      <c r="H345" s="156">
        <f t="shared" si="1"/>
        <v>362243.91</v>
      </c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</row>
    <row r="346">
      <c r="A346" s="150"/>
      <c r="B346" s="151"/>
      <c r="C346" s="152"/>
      <c r="D346" s="153"/>
      <c r="E346" s="154"/>
      <c r="F346" s="85"/>
      <c r="G346" s="155"/>
      <c r="H346" s="156">
        <f t="shared" si="1"/>
        <v>362243.91</v>
      </c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</row>
    <row r="347">
      <c r="A347" s="150"/>
      <c r="B347" s="151"/>
      <c r="C347" s="152"/>
      <c r="D347" s="153"/>
      <c r="E347" s="154"/>
      <c r="F347" s="85"/>
      <c r="G347" s="155"/>
      <c r="H347" s="156">
        <f t="shared" si="1"/>
        <v>362243.91</v>
      </c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</row>
    <row r="348">
      <c r="A348" s="150"/>
      <c r="B348" s="151"/>
      <c r="C348" s="152"/>
      <c r="D348" s="153"/>
      <c r="E348" s="154"/>
      <c r="F348" s="85"/>
      <c r="G348" s="155"/>
      <c r="H348" s="156">
        <f t="shared" si="1"/>
        <v>362243.91</v>
      </c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</row>
    <row r="349">
      <c r="A349" s="150"/>
      <c r="B349" s="151"/>
      <c r="C349" s="152"/>
      <c r="D349" s="153"/>
      <c r="E349" s="154"/>
      <c r="F349" s="85"/>
      <c r="G349" s="155"/>
      <c r="H349" s="156">
        <f t="shared" si="1"/>
        <v>362243.91</v>
      </c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</row>
    <row r="350">
      <c r="A350" s="150"/>
      <c r="B350" s="151"/>
      <c r="C350" s="152"/>
      <c r="D350" s="153"/>
      <c r="E350" s="154"/>
      <c r="F350" s="85"/>
      <c r="G350" s="155"/>
      <c r="H350" s="156">
        <f t="shared" si="1"/>
        <v>362243.91</v>
      </c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</row>
    <row r="351">
      <c r="A351" s="150"/>
      <c r="B351" s="151"/>
      <c r="C351" s="152"/>
      <c r="D351" s="153"/>
      <c r="E351" s="154"/>
      <c r="F351" s="85"/>
      <c r="G351" s="155"/>
      <c r="H351" s="156">
        <f t="shared" si="1"/>
        <v>362243.91</v>
      </c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</row>
    <row r="352">
      <c r="A352" s="150"/>
      <c r="B352" s="151"/>
      <c r="C352" s="152"/>
      <c r="D352" s="153"/>
      <c r="E352" s="154"/>
      <c r="F352" s="85"/>
      <c r="G352" s="155"/>
      <c r="H352" s="156">
        <f t="shared" si="1"/>
        <v>362243.91</v>
      </c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</row>
    <row r="353">
      <c r="A353" s="150"/>
      <c r="B353" s="151"/>
      <c r="C353" s="152"/>
      <c r="D353" s="153"/>
      <c r="E353" s="154"/>
      <c r="F353" s="85"/>
      <c r="G353" s="155"/>
      <c r="H353" s="156">
        <f t="shared" si="1"/>
        <v>362243.91</v>
      </c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</row>
    <row r="354">
      <c r="A354" s="150"/>
      <c r="B354" s="151"/>
      <c r="C354" s="152"/>
      <c r="D354" s="153"/>
      <c r="E354" s="154"/>
      <c r="F354" s="85"/>
      <c r="G354" s="155"/>
      <c r="H354" s="156">
        <f t="shared" si="1"/>
        <v>362243.91</v>
      </c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</row>
    <row r="355">
      <c r="A355" s="150"/>
      <c r="B355" s="151"/>
      <c r="C355" s="152"/>
      <c r="D355" s="153"/>
      <c r="E355" s="154"/>
      <c r="F355" s="85"/>
      <c r="G355" s="155"/>
      <c r="H355" s="156">
        <f t="shared" si="1"/>
        <v>362243.91</v>
      </c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</row>
    <row r="356">
      <c r="A356" s="150"/>
      <c r="B356" s="151"/>
      <c r="C356" s="152"/>
      <c r="D356" s="153"/>
      <c r="E356" s="154"/>
      <c r="F356" s="85"/>
      <c r="G356" s="155"/>
      <c r="H356" s="156">
        <f t="shared" si="1"/>
        <v>362243.91</v>
      </c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</row>
    <row r="357">
      <c r="A357" s="150"/>
      <c r="B357" s="151"/>
      <c r="C357" s="152"/>
      <c r="D357" s="153"/>
      <c r="E357" s="154"/>
      <c r="F357" s="85"/>
      <c r="G357" s="155"/>
      <c r="H357" s="156">
        <f t="shared" si="1"/>
        <v>362243.91</v>
      </c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</row>
    <row r="358">
      <c r="A358" s="150"/>
      <c r="B358" s="151"/>
      <c r="C358" s="152"/>
      <c r="D358" s="153"/>
      <c r="E358" s="154"/>
      <c r="F358" s="85"/>
      <c r="G358" s="155"/>
      <c r="H358" s="156">
        <f t="shared" si="1"/>
        <v>362243.91</v>
      </c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</row>
    <row r="359">
      <c r="A359" s="150"/>
      <c r="B359" s="151"/>
      <c r="C359" s="152"/>
      <c r="D359" s="153"/>
      <c r="E359" s="154"/>
      <c r="F359" s="85"/>
      <c r="G359" s="155"/>
      <c r="H359" s="156">
        <f t="shared" si="1"/>
        <v>362243.91</v>
      </c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</row>
    <row r="360">
      <c r="A360" s="150"/>
      <c r="B360" s="151"/>
      <c r="C360" s="152"/>
      <c r="D360" s="153"/>
      <c r="E360" s="154"/>
      <c r="F360" s="85"/>
      <c r="G360" s="155"/>
      <c r="H360" s="156">
        <f t="shared" si="1"/>
        <v>362243.91</v>
      </c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</row>
    <row r="361">
      <c r="A361" s="150"/>
      <c r="B361" s="151"/>
      <c r="C361" s="152"/>
      <c r="D361" s="153"/>
      <c r="E361" s="154"/>
      <c r="F361" s="85"/>
      <c r="G361" s="155"/>
      <c r="H361" s="156">
        <f t="shared" si="1"/>
        <v>362243.91</v>
      </c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</row>
    <row r="362">
      <c r="A362" s="150"/>
      <c r="B362" s="151"/>
      <c r="C362" s="152"/>
      <c r="D362" s="153"/>
      <c r="E362" s="154"/>
      <c r="F362" s="85"/>
      <c r="G362" s="155"/>
      <c r="H362" s="156">
        <f t="shared" si="1"/>
        <v>362243.91</v>
      </c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</row>
    <row r="363">
      <c r="A363" s="150"/>
      <c r="B363" s="151"/>
      <c r="C363" s="152"/>
      <c r="D363" s="153"/>
      <c r="E363" s="154"/>
      <c r="F363" s="85"/>
      <c r="G363" s="155"/>
      <c r="H363" s="156">
        <f t="shared" si="1"/>
        <v>362243.91</v>
      </c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</row>
    <row r="364">
      <c r="A364" s="150"/>
      <c r="B364" s="151"/>
      <c r="C364" s="152"/>
      <c r="D364" s="153"/>
      <c r="E364" s="154"/>
      <c r="F364" s="85"/>
      <c r="G364" s="155"/>
      <c r="H364" s="156">
        <f t="shared" si="1"/>
        <v>362243.91</v>
      </c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</row>
    <row r="365">
      <c r="A365" s="150"/>
      <c r="B365" s="151"/>
      <c r="C365" s="152"/>
      <c r="D365" s="153"/>
      <c r="E365" s="154"/>
      <c r="F365" s="85"/>
      <c r="G365" s="155"/>
      <c r="H365" s="156">
        <f t="shared" si="1"/>
        <v>362243.91</v>
      </c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</row>
    <row r="366">
      <c r="A366" s="150"/>
      <c r="B366" s="151"/>
      <c r="C366" s="152"/>
      <c r="D366" s="153"/>
      <c r="E366" s="154"/>
      <c r="F366" s="85"/>
      <c r="G366" s="155"/>
      <c r="H366" s="156">
        <f t="shared" si="1"/>
        <v>362243.91</v>
      </c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</row>
    <row r="367">
      <c r="A367" s="150"/>
      <c r="B367" s="151"/>
      <c r="C367" s="152"/>
      <c r="D367" s="153"/>
      <c r="E367" s="154"/>
      <c r="F367" s="85"/>
      <c r="G367" s="155"/>
      <c r="H367" s="156">
        <f t="shared" si="1"/>
        <v>362243.91</v>
      </c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</row>
    <row r="368">
      <c r="A368" s="150"/>
      <c r="B368" s="151"/>
      <c r="C368" s="152"/>
      <c r="D368" s="153"/>
      <c r="E368" s="154"/>
      <c r="F368" s="85"/>
      <c r="G368" s="155"/>
      <c r="H368" s="156">
        <f t="shared" si="1"/>
        <v>362243.91</v>
      </c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</row>
    <row r="369">
      <c r="A369" s="150"/>
      <c r="B369" s="151"/>
      <c r="C369" s="152"/>
      <c r="D369" s="153"/>
      <c r="E369" s="154"/>
      <c r="F369" s="85"/>
      <c r="G369" s="155"/>
      <c r="H369" s="156">
        <f t="shared" si="1"/>
        <v>362243.91</v>
      </c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</row>
    <row r="370">
      <c r="A370" s="150"/>
      <c r="B370" s="151"/>
      <c r="C370" s="152"/>
      <c r="D370" s="153"/>
      <c r="E370" s="154"/>
      <c r="F370" s="85"/>
      <c r="G370" s="155"/>
      <c r="H370" s="156">
        <f t="shared" si="1"/>
        <v>362243.91</v>
      </c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</row>
    <row r="371">
      <c r="A371" s="150"/>
      <c r="B371" s="151"/>
      <c r="C371" s="152"/>
      <c r="D371" s="153"/>
      <c r="E371" s="154"/>
      <c r="F371" s="85"/>
      <c r="G371" s="155"/>
      <c r="H371" s="156">
        <f t="shared" si="1"/>
        <v>362243.91</v>
      </c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</row>
    <row r="372">
      <c r="A372" s="150"/>
      <c r="B372" s="151"/>
      <c r="C372" s="152"/>
      <c r="D372" s="153"/>
      <c r="E372" s="154"/>
      <c r="F372" s="85"/>
      <c r="G372" s="155"/>
      <c r="H372" s="156">
        <f t="shared" si="1"/>
        <v>362243.91</v>
      </c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</row>
    <row r="373">
      <c r="A373" s="150"/>
      <c r="B373" s="151"/>
      <c r="C373" s="152"/>
      <c r="D373" s="153"/>
      <c r="E373" s="154"/>
      <c r="F373" s="85"/>
      <c r="G373" s="155"/>
      <c r="H373" s="156">
        <f t="shared" si="1"/>
        <v>362243.91</v>
      </c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</row>
    <row r="374">
      <c r="A374" s="150"/>
      <c r="B374" s="151"/>
      <c r="C374" s="152"/>
      <c r="D374" s="153"/>
      <c r="E374" s="154"/>
      <c r="F374" s="85"/>
      <c r="G374" s="155"/>
      <c r="H374" s="156">
        <f t="shared" si="1"/>
        <v>362243.91</v>
      </c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</row>
    <row r="375">
      <c r="A375" s="150"/>
      <c r="B375" s="151"/>
      <c r="C375" s="152"/>
      <c r="D375" s="153"/>
      <c r="E375" s="154"/>
      <c r="F375" s="85"/>
      <c r="G375" s="155"/>
      <c r="H375" s="156">
        <f t="shared" si="1"/>
        <v>362243.91</v>
      </c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</row>
    <row r="376">
      <c r="A376" s="150"/>
      <c r="B376" s="151"/>
      <c r="C376" s="152"/>
      <c r="D376" s="153"/>
      <c r="E376" s="154"/>
      <c r="F376" s="85"/>
      <c r="G376" s="155"/>
      <c r="H376" s="156">
        <f t="shared" si="1"/>
        <v>362243.91</v>
      </c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</row>
    <row r="377">
      <c r="A377" s="150"/>
      <c r="B377" s="151"/>
      <c r="C377" s="152"/>
      <c r="D377" s="153"/>
      <c r="E377" s="154"/>
      <c r="F377" s="85"/>
      <c r="G377" s="155"/>
      <c r="H377" s="156">
        <f t="shared" si="1"/>
        <v>362243.91</v>
      </c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</row>
    <row r="378">
      <c r="A378" s="150"/>
      <c r="B378" s="151"/>
      <c r="C378" s="152"/>
      <c r="D378" s="153"/>
      <c r="E378" s="154"/>
      <c r="F378" s="85"/>
      <c r="G378" s="155"/>
      <c r="H378" s="156">
        <f t="shared" si="1"/>
        <v>362243.91</v>
      </c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</row>
    <row r="379">
      <c r="A379" s="150"/>
      <c r="B379" s="151"/>
      <c r="C379" s="152"/>
      <c r="D379" s="153"/>
      <c r="E379" s="154"/>
      <c r="F379" s="85"/>
      <c r="G379" s="155"/>
      <c r="H379" s="156">
        <f t="shared" si="1"/>
        <v>362243.91</v>
      </c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</row>
    <row r="380">
      <c r="A380" s="150"/>
      <c r="B380" s="151"/>
      <c r="C380" s="152"/>
      <c r="D380" s="153"/>
      <c r="E380" s="154"/>
      <c r="F380" s="85"/>
      <c r="G380" s="155"/>
      <c r="H380" s="156">
        <f t="shared" si="1"/>
        <v>362243.91</v>
      </c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</row>
    <row r="381">
      <c r="A381" s="150"/>
      <c r="B381" s="151"/>
      <c r="C381" s="152"/>
      <c r="D381" s="153"/>
      <c r="E381" s="154"/>
      <c r="F381" s="85"/>
      <c r="G381" s="155"/>
      <c r="H381" s="156">
        <f t="shared" si="1"/>
        <v>362243.91</v>
      </c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</row>
    <row r="382">
      <c r="A382" s="150"/>
      <c r="B382" s="151"/>
      <c r="C382" s="152"/>
      <c r="D382" s="153"/>
      <c r="E382" s="154"/>
      <c r="F382" s="85"/>
      <c r="G382" s="155"/>
      <c r="H382" s="156">
        <f t="shared" si="1"/>
        <v>362243.91</v>
      </c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</row>
    <row r="383">
      <c r="A383" s="150"/>
      <c r="B383" s="151"/>
      <c r="C383" s="152"/>
      <c r="D383" s="153"/>
      <c r="E383" s="154"/>
      <c r="F383" s="85"/>
      <c r="G383" s="155"/>
      <c r="H383" s="156">
        <f t="shared" si="1"/>
        <v>362243.91</v>
      </c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</row>
    <row r="384">
      <c r="A384" s="150"/>
      <c r="B384" s="151"/>
      <c r="C384" s="152"/>
      <c r="D384" s="153"/>
      <c r="E384" s="154"/>
      <c r="F384" s="85"/>
      <c r="G384" s="155"/>
      <c r="H384" s="156">
        <f t="shared" si="1"/>
        <v>362243.91</v>
      </c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</row>
    <row r="385">
      <c r="A385" s="150"/>
      <c r="B385" s="151"/>
      <c r="C385" s="152"/>
      <c r="D385" s="153"/>
      <c r="E385" s="154"/>
      <c r="F385" s="85"/>
      <c r="G385" s="155"/>
      <c r="H385" s="156">
        <f t="shared" si="1"/>
        <v>362243.91</v>
      </c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</row>
    <row r="386">
      <c r="A386" s="150"/>
      <c r="B386" s="151"/>
      <c r="C386" s="152"/>
      <c r="D386" s="153"/>
      <c r="E386" s="154"/>
      <c r="F386" s="85"/>
      <c r="G386" s="155"/>
      <c r="H386" s="156">
        <f t="shared" si="1"/>
        <v>362243.91</v>
      </c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</row>
    <row r="387">
      <c r="A387" s="150"/>
      <c r="B387" s="151"/>
      <c r="C387" s="152"/>
      <c r="D387" s="153"/>
      <c r="E387" s="154"/>
      <c r="F387" s="85"/>
      <c r="G387" s="155"/>
      <c r="H387" s="156">
        <f t="shared" si="1"/>
        <v>362243.91</v>
      </c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</row>
    <row r="388">
      <c r="A388" s="150"/>
      <c r="B388" s="151"/>
      <c r="C388" s="152"/>
      <c r="D388" s="153"/>
      <c r="E388" s="154"/>
      <c r="F388" s="85"/>
      <c r="G388" s="155"/>
      <c r="H388" s="156">
        <f t="shared" si="1"/>
        <v>362243.91</v>
      </c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</row>
    <row r="389">
      <c r="A389" s="150"/>
      <c r="B389" s="151"/>
      <c r="C389" s="152"/>
      <c r="D389" s="153"/>
      <c r="E389" s="154"/>
      <c r="F389" s="85"/>
      <c r="G389" s="155"/>
      <c r="H389" s="156">
        <f t="shared" si="1"/>
        <v>362243.91</v>
      </c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</row>
    <row r="390">
      <c r="A390" s="150"/>
      <c r="B390" s="151"/>
      <c r="C390" s="152"/>
      <c r="D390" s="153"/>
      <c r="E390" s="154"/>
      <c r="F390" s="85"/>
      <c r="G390" s="155"/>
      <c r="H390" s="156">
        <f t="shared" si="1"/>
        <v>362243.91</v>
      </c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</row>
    <row r="391">
      <c r="A391" s="150"/>
      <c r="B391" s="151"/>
      <c r="C391" s="152"/>
      <c r="D391" s="153"/>
      <c r="E391" s="154"/>
      <c r="F391" s="85"/>
      <c r="G391" s="155"/>
      <c r="H391" s="156">
        <f t="shared" si="1"/>
        <v>362243.91</v>
      </c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</row>
    <row r="392">
      <c r="A392" s="150"/>
      <c r="B392" s="151"/>
      <c r="C392" s="152"/>
      <c r="D392" s="153"/>
      <c r="E392" s="154"/>
      <c r="F392" s="85"/>
      <c r="G392" s="155"/>
      <c r="H392" s="156">
        <f t="shared" si="1"/>
        <v>362243.91</v>
      </c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</row>
    <row r="393">
      <c r="A393" s="150"/>
      <c r="B393" s="151"/>
      <c r="C393" s="152"/>
      <c r="D393" s="153"/>
      <c r="E393" s="154"/>
      <c r="F393" s="85"/>
      <c r="G393" s="155"/>
      <c r="H393" s="156">
        <f t="shared" si="1"/>
        <v>362243.91</v>
      </c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</row>
    <row r="394">
      <c r="A394" s="150"/>
      <c r="B394" s="151"/>
      <c r="C394" s="152"/>
      <c r="D394" s="153"/>
      <c r="E394" s="154"/>
      <c r="F394" s="85"/>
      <c r="G394" s="155"/>
      <c r="H394" s="156">
        <f t="shared" si="1"/>
        <v>362243.91</v>
      </c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</row>
    <row r="395">
      <c r="A395" s="150"/>
      <c r="B395" s="151"/>
      <c r="C395" s="152"/>
      <c r="D395" s="153"/>
      <c r="E395" s="154"/>
      <c r="F395" s="85"/>
      <c r="G395" s="155"/>
      <c r="H395" s="156">
        <f t="shared" si="1"/>
        <v>362243.91</v>
      </c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</row>
    <row r="396">
      <c r="A396" s="150"/>
      <c r="B396" s="151"/>
      <c r="C396" s="152"/>
      <c r="D396" s="153"/>
      <c r="E396" s="154"/>
      <c r="F396" s="85"/>
      <c r="G396" s="155"/>
      <c r="H396" s="156">
        <f t="shared" si="1"/>
        <v>362243.91</v>
      </c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</row>
    <row r="397">
      <c r="A397" s="150"/>
      <c r="B397" s="151"/>
      <c r="C397" s="152"/>
      <c r="D397" s="153"/>
      <c r="E397" s="154"/>
      <c r="F397" s="85"/>
      <c r="G397" s="155"/>
      <c r="H397" s="156">
        <f t="shared" si="1"/>
        <v>362243.91</v>
      </c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</row>
    <row r="398">
      <c r="A398" s="150"/>
      <c r="B398" s="151"/>
      <c r="C398" s="152"/>
      <c r="D398" s="153"/>
      <c r="E398" s="154"/>
      <c r="F398" s="85"/>
      <c r="G398" s="155"/>
      <c r="H398" s="156">
        <f t="shared" si="1"/>
        <v>362243.91</v>
      </c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</row>
    <row r="399">
      <c r="A399" s="150"/>
      <c r="B399" s="151"/>
      <c r="C399" s="152"/>
      <c r="D399" s="153"/>
      <c r="E399" s="154"/>
      <c r="F399" s="85"/>
      <c r="G399" s="155"/>
      <c r="H399" s="156">
        <f t="shared" si="1"/>
        <v>362243.91</v>
      </c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</row>
    <row r="400">
      <c r="A400" s="150"/>
      <c r="B400" s="151"/>
      <c r="C400" s="152"/>
      <c r="D400" s="153"/>
      <c r="E400" s="154"/>
      <c r="F400" s="85"/>
      <c r="G400" s="155"/>
      <c r="H400" s="156">
        <f t="shared" si="1"/>
        <v>362243.91</v>
      </c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</row>
    <row r="401">
      <c r="A401" s="150"/>
      <c r="B401" s="151"/>
      <c r="C401" s="152"/>
      <c r="D401" s="153"/>
      <c r="E401" s="154"/>
      <c r="F401" s="85"/>
      <c r="G401" s="155"/>
      <c r="H401" s="156">
        <f t="shared" si="1"/>
        <v>362243.91</v>
      </c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</row>
    <row r="402">
      <c r="A402" s="150"/>
      <c r="B402" s="151"/>
      <c r="C402" s="152"/>
      <c r="D402" s="153"/>
      <c r="E402" s="154"/>
      <c r="F402" s="85"/>
      <c r="G402" s="155"/>
      <c r="H402" s="156">
        <f t="shared" si="1"/>
        <v>362243.91</v>
      </c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</row>
    <row r="403">
      <c r="A403" s="150"/>
      <c r="B403" s="151"/>
      <c r="C403" s="152"/>
      <c r="D403" s="153"/>
      <c r="E403" s="154"/>
      <c r="F403" s="85"/>
      <c r="G403" s="155"/>
      <c r="H403" s="156">
        <f t="shared" si="1"/>
        <v>362243.91</v>
      </c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</row>
    <row r="404">
      <c r="A404" s="150"/>
      <c r="B404" s="151"/>
      <c r="C404" s="152"/>
      <c r="D404" s="153"/>
      <c r="E404" s="154"/>
      <c r="F404" s="85"/>
      <c r="G404" s="155"/>
      <c r="H404" s="156">
        <f t="shared" si="1"/>
        <v>362243.91</v>
      </c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</row>
    <row r="405">
      <c r="A405" s="150"/>
      <c r="B405" s="151"/>
      <c r="C405" s="152"/>
      <c r="D405" s="153"/>
      <c r="E405" s="154"/>
      <c r="F405" s="85"/>
      <c r="G405" s="155"/>
      <c r="H405" s="156">
        <f t="shared" si="1"/>
        <v>362243.91</v>
      </c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</row>
    <row r="406">
      <c r="A406" s="150"/>
      <c r="B406" s="151"/>
      <c r="C406" s="152"/>
      <c r="D406" s="153"/>
      <c r="E406" s="154"/>
      <c r="F406" s="85"/>
      <c r="G406" s="155"/>
      <c r="H406" s="156">
        <f t="shared" si="1"/>
        <v>362243.91</v>
      </c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</row>
    <row r="407">
      <c r="A407" s="150"/>
      <c r="B407" s="151"/>
      <c r="C407" s="152"/>
      <c r="D407" s="153"/>
      <c r="E407" s="154"/>
      <c r="F407" s="85"/>
      <c r="G407" s="155"/>
      <c r="H407" s="156">
        <f t="shared" si="1"/>
        <v>362243.91</v>
      </c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</row>
    <row r="408">
      <c r="A408" s="150"/>
      <c r="B408" s="151"/>
      <c r="C408" s="152"/>
      <c r="D408" s="153"/>
      <c r="E408" s="154"/>
      <c r="F408" s="85"/>
      <c r="G408" s="155"/>
      <c r="H408" s="156">
        <f t="shared" si="1"/>
        <v>362243.91</v>
      </c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</row>
    <row r="409">
      <c r="A409" s="150"/>
      <c r="B409" s="151"/>
      <c r="C409" s="152"/>
      <c r="D409" s="153"/>
      <c r="E409" s="154"/>
      <c r="F409" s="85"/>
      <c r="G409" s="155"/>
      <c r="H409" s="156">
        <f t="shared" si="1"/>
        <v>362243.91</v>
      </c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</row>
    <row r="410">
      <c r="A410" s="150"/>
      <c r="B410" s="151"/>
      <c r="C410" s="152"/>
      <c r="D410" s="153"/>
      <c r="E410" s="154"/>
      <c r="F410" s="85"/>
      <c r="G410" s="155"/>
      <c r="H410" s="156">
        <f t="shared" si="1"/>
        <v>362243.91</v>
      </c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</row>
    <row r="411">
      <c r="A411" s="150"/>
      <c r="B411" s="151"/>
      <c r="C411" s="152"/>
      <c r="D411" s="153"/>
      <c r="E411" s="154"/>
      <c r="F411" s="85"/>
      <c r="G411" s="155"/>
      <c r="H411" s="156">
        <f t="shared" si="1"/>
        <v>362243.91</v>
      </c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</row>
    <row r="412">
      <c r="A412" s="150"/>
      <c r="B412" s="151"/>
      <c r="C412" s="152"/>
      <c r="D412" s="153"/>
      <c r="E412" s="154"/>
      <c r="F412" s="85"/>
      <c r="G412" s="155"/>
      <c r="H412" s="156">
        <f t="shared" si="1"/>
        <v>362243.91</v>
      </c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</row>
    <row r="413">
      <c r="A413" s="150"/>
      <c r="B413" s="151"/>
      <c r="C413" s="152"/>
      <c r="D413" s="153"/>
      <c r="E413" s="154"/>
      <c r="F413" s="85"/>
      <c r="G413" s="155"/>
      <c r="H413" s="156">
        <f t="shared" si="1"/>
        <v>362243.91</v>
      </c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</row>
    <row r="414">
      <c r="A414" s="150"/>
      <c r="B414" s="151"/>
      <c r="C414" s="152"/>
      <c r="D414" s="153"/>
      <c r="E414" s="154"/>
      <c r="F414" s="85"/>
      <c r="G414" s="155"/>
      <c r="H414" s="156">
        <f t="shared" si="1"/>
        <v>362243.91</v>
      </c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</row>
    <row r="415">
      <c r="A415" s="150"/>
      <c r="B415" s="151"/>
      <c r="C415" s="152"/>
      <c r="D415" s="153"/>
      <c r="E415" s="154"/>
      <c r="F415" s="85"/>
      <c r="G415" s="155"/>
      <c r="H415" s="156">
        <f t="shared" si="1"/>
        <v>362243.91</v>
      </c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</row>
    <row r="416">
      <c r="A416" s="150"/>
      <c r="B416" s="151"/>
      <c r="C416" s="152"/>
      <c r="D416" s="153"/>
      <c r="E416" s="154"/>
      <c r="F416" s="85"/>
      <c r="G416" s="155"/>
      <c r="H416" s="156">
        <f t="shared" si="1"/>
        <v>362243.91</v>
      </c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</row>
    <row r="417">
      <c r="A417" s="150"/>
      <c r="B417" s="151"/>
      <c r="C417" s="152"/>
      <c r="D417" s="153"/>
      <c r="E417" s="154"/>
      <c r="F417" s="85"/>
      <c r="G417" s="155"/>
      <c r="H417" s="156">
        <f t="shared" si="1"/>
        <v>362243.91</v>
      </c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</row>
    <row r="418">
      <c r="A418" s="150"/>
      <c r="B418" s="151"/>
      <c r="C418" s="152"/>
      <c r="D418" s="153"/>
      <c r="E418" s="154"/>
      <c r="F418" s="85"/>
      <c r="G418" s="155"/>
      <c r="H418" s="156">
        <f t="shared" si="1"/>
        <v>362243.91</v>
      </c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</row>
    <row r="419">
      <c r="A419" s="150"/>
      <c r="B419" s="151"/>
      <c r="C419" s="152"/>
      <c r="D419" s="153"/>
      <c r="E419" s="154"/>
      <c r="F419" s="85"/>
      <c r="G419" s="155"/>
      <c r="H419" s="156">
        <f t="shared" si="1"/>
        <v>362243.91</v>
      </c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</row>
    <row r="420">
      <c r="A420" s="150"/>
      <c r="B420" s="151"/>
      <c r="C420" s="152"/>
      <c r="D420" s="153"/>
      <c r="E420" s="154"/>
      <c r="F420" s="85"/>
      <c r="G420" s="155"/>
      <c r="H420" s="156">
        <f t="shared" si="1"/>
        <v>362243.91</v>
      </c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</row>
    <row r="421">
      <c r="A421" s="150"/>
      <c r="B421" s="151"/>
      <c r="C421" s="152"/>
      <c r="D421" s="153"/>
      <c r="E421" s="154"/>
      <c r="F421" s="85"/>
      <c r="G421" s="155"/>
      <c r="H421" s="156">
        <f t="shared" si="1"/>
        <v>362243.91</v>
      </c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</row>
    <row r="422">
      <c r="A422" s="150"/>
      <c r="B422" s="151"/>
      <c r="C422" s="152"/>
      <c r="D422" s="153"/>
      <c r="E422" s="154"/>
      <c r="F422" s="85"/>
      <c r="G422" s="155"/>
      <c r="H422" s="156">
        <f t="shared" si="1"/>
        <v>362243.91</v>
      </c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</row>
    <row r="423">
      <c r="A423" s="150"/>
      <c r="B423" s="151"/>
      <c r="C423" s="152"/>
      <c r="D423" s="153"/>
      <c r="E423" s="154"/>
      <c r="F423" s="85"/>
      <c r="G423" s="155"/>
      <c r="H423" s="156">
        <f t="shared" si="1"/>
        <v>362243.91</v>
      </c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</row>
    <row r="424">
      <c r="A424" s="150"/>
      <c r="B424" s="151"/>
      <c r="C424" s="152"/>
      <c r="D424" s="153"/>
      <c r="E424" s="154"/>
      <c r="F424" s="85"/>
      <c r="G424" s="155"/>
      <c r="H424" s="156">
        <f t="shared" si="1"/>
        <v>362243.91</v>
      </c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</row>
    <row r="425">
      <c r="A425" s="150"/>
      <c r="B425" s="151"/>
      <c r="C425" s="152"/>
      <c r="D425" s="153"/>
      <c r="E425" s="154"/>
      <c r="F425" s="85"/>
      <c r="G425" s="155"/>
      <c r="H425" s="156">
        <f t="shared" si="1"/>
        <v>362243.91</v>
      </c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</row>
    <row r="426">
      <c r="A426" s="150"/>
      <c r="B426" s="151"/>
      <c r="C426" s="152"/>
      <c r="D426" s="153"/>
      <c r="E426" s="154"/>
      <c r="F426" s="85"/>
      <c r="G426" s="155"/>
      <c r="H426" s="156">
        <f t="shared" si="1"/>
        <v>362243.91</v>
      </c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</row>
    <row r="427">
      <c r="A427" s="150"/>
      <c r="B427" s="151"/>
      <c r="C427" s="152"/>
      <c r="D427" s="153"/>
      <c r="E427" s="154"/>
      <c r="F427" s="85"/>
      <c r="G427" s="155"/>
      <c r="H427" s="156">
        <f t="shared" si="1"/>
        <v>362243.91</v>
      </c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</row>
    <row r="428">
      <c r="A428" s="150"/>
      <c r="B428" s="151"/>
      <c r="C428" s="152"/>
      <c r="D428" s="153"/>
      <c r="E428" s="154"/>
      <c r="F428" s="85"/>
      <c r="G428" s="155"/>
      <c r="H428" s="156">
        <f t="shared" si="1"/>
        <v>362243.91</v>
      </c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</row>
    <row r="429">
      <c r="A429" s="150"/>
      <c r="B429" s="151"/>
      <c r="C429" s="152"/>
      <c r="D429" s="153"/>
      <c r="E429" s="154"/>
      <c r="F429" s="85"/>
      <c r="G429" s="155"/>
      <c r="H429" s="156">
        <f t="shared" si="1"/>
        <v>362243.91</v>
      </c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</row>
    <row r="430">
      <c r="A430" s="150"/>
      <c r="B430" s="151"/>
      <c r="C430" s="152"/>
      <c r="D430" s="153"/>
      <c r="E430" s="154"/>
      <c r="F430" s="85"/>
      <c r="G430" s="155"/>
      <c r="H430" s="156">
        <f t="shared" si="1"/>
        <v>362243.91</v>
      </c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</row>
    <row r="431">
      <c r="A431" s="150"/>
      <c r="B431" s="151"/>
      <c r="C431" s="152"/>
      <c r="D431" s="153"/>
      <c r="E431" s="154"/>
      <c r="F431" s="85"/>
      <c r="G431" s="155"/>
      <c r="H431" s="156">
        <f t="shared" si="1"/>
        <v>362243.91</v>
      </c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</row>
    <row r="432">
      <c r="A432" s="150"/>
      <c r="B432" s="151"/>
      <c r="C432" s="152"/>
      <c r="D432" s="153"/>
      <c r="E432" s="154"/>
      <c r="F432" s="85"/>
      <c r="G432" s="155"/>
      <c r="H432" s="156">
        <f t="shared" si="1"/>
        <v>362243.91</v>
      </c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</row>
    <row r="433">
      <c r="A433" s="150"/>
      <c r="B433" s="151"/>
      <c r="C433" s="152"/>
      <c r="D433" s="153"/>
      <c r="E433" s="154"/>
      <c r="F433" s="85"/>
      <c r="G433" s="155"/>
      <c r="H433" s="156">
        <f t="shared" si="1"/>
        <v>362243.91</v>
      </c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</row>
    <row r="434">
      <c r="A434" s="150"/>
      <c r="B434" s="151"/>
      <c r="C434" s="152"/>
      <c r="D434" s="153"/>
      <c r="E434" s="154"/>
      <c r="F434" s="85"/>
      <c r="G434" s="155"/>
      <c r="H434" s="156">
        <f t="shared" si="1"/>
        <v>362243.91</v>
      </c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</row>
    <row r="435">
      <c r="A435" s="150"/>
      <c r="B435" s="151"/>
      <c r="C435" s="152"/>
      <c r="D435" s="153"/>
      <c r="E435" s="154"/>
      <c r="F435" s="85"/>
      <c r="G435" s="155"/>
      <c r="H435" s="156">
        <f t="shared" si="1"/>
        <v>362243.91</v>
      </c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</row>
    <row r="436">
      <c r="A436" s="150"/>
      <c r="B436" s="151"/>
      <c r="C436" s="152"/>
      <c r="D436" s="153"/>
      <c r="E436" s="154"/>
      <c r="F436" s="85"/>
      <c r="G436" s="155"/>
      <c r="H436" s="156">
        <f t="shared" si="1"/>
        <v>362243.91</v>
      </c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</row>
    <row r="437">
      <c r="A437" s="150"/>
      <c r="B437" s="151"/>
      <c r="C437" s="152"/>
      <c r="D437" s="153"/>
      <c r="E437" s="154"/>
      <c r="F437" s="85"/>
      <c r="G437" s="155"/>
      <c r="H437" s="156">
        <f t="shared" si="1"/>
        <v>362243.91</v>
      </c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</row>
    <row r="438">
      <c r="A438" s="150"/>
      <c r="B438" s="151"/>
      <c r="C438" s="152"/>
      <c r="D438" s="153"/>
      <c r="E438" s="154"/>
      <c r="F438" s="85"/>
      <c r="G438" s="155"/>
      <c r="H438" s="156">
        <f t="shared" si="1"/>
        <v>362243.91</v>
      </c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</row>
    <row r="439">
      <c r="A439" s="150"/>
      <c r="B439" s="151"/>
      <c r="C439" s="152"/>
      <c r="D439" s="153"/>
      <c r="E439" s="154"/>
      <c r="F439" s="85"/>
      <c r="G439" s="155"/>
      <c r="H439" s="156">
        <f t="shared" si="1"/>
        <v>362243.91</v>
      </c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</row>
    <row r="440">
      <c r="A440" s="150"/>
      <c r="B440" s="151"/>
      <c r="C440" s="152"/>
      <c r="D440" s="153"/>
      <c r="E440" s="154"/>
      <c r="F440" s="85"/>
      <c r="G440" s="155"/>
      <c r="H440" s="156">
        <f t="shared" si="1"/>
        <v>362243.91</v>
      </c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</row>
    <row r="441">
      <c r="A441" s="150"/>
      <c r="B441" s="151"/>
      <c r="C441" s="152"/>
      <c r="D441" s="153"/>
      <c r="E441" s="154"/>
      <c r="F441" s="85"/>
      <c r="G441" s="155"/>
      <c r="H441" s="156">
        <f t="shared" si="1"/>
        <v>362243.91</v>
      </c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</row>
    <row r="442">
      <c r="A442" s="150"/>
      <c r="B442" s="151"/>
      <c r="C442" s="152"/>
      <c r="D442" s="153"/>
      <c r="E442" s="154"/>
      <c r="F442" s="85"/>
      <c r="G442" s="155"/>
      <c r="H442" s="156">
        <f t="shared" si="1"/>
        <v>362243.91</v>
      </c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</row>
    <row r="443">
      <c r="A443" s="150"/>
      <c r="B443" s="151"/>
      <c r="C443" s="152"/>
      <c r="D443" s="153"/>
      <c r="E443" s="154"/>
      <c r="F443" s="85"/>
      <c r="G443" s="155"/>
      <c r="H443" s="156">
        <f t="shared" si="1"/>
        <v>362243.91</v>
      </c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</row>
    <row r="444">
      <c r="A444" s="150"/>
      <c r="B444" s="151"/>
      <c r="C444" s="152"/>
      <c r="D444" s="153"/>
      <c r="E444" s="154"/>
      <c r="F444" s="85"/>
      <c r="G444" s="155"/>
      <c r="H444" s="156">
        <f t="shared" si="1"/>
        <v>362243.91</v>
      </c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</row>
    <row r="445">
      <c r="A445" s="150"/>
      <c r="B445" s="151"/>
      <c r="C445" s="152"/>
      <c r="D445" s="153"/>
      <c r="E445" s="154"/>
      <c r="F445" s="85"/>
      <c r="G445" s="155"/>
      <c r="H445" s="156">
        <f t="shared" si="1"/>
        <v>362243.91</v>
      </c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</row>
    <row r="446">
      <c r="A446" s="150"/>
      <c r="B446" s="151"/>
      <c r="C446" s="152"/>
      <c r="D446" s="153"/>
      <c r="E446" s="154"/>
      <c r="F446" s="85"/>
      <c r="G446" s="155"/>
      <c r="H446" s="156">
        <f t="shared" si="1"/>
        <v>362243.91</v>
      </c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</row>
    <row r="447">
      <c r="A447" s="150"/>
      <c r="B447" s="151"/>
      <c r="C447" s="152"/>
      <c r="D447" s="153"/>
      <c r="E447" s="154"/>
      <c r="F447" s="85"/>
      <c r="G447" s="155"/>
      <c r="H447" s="156">
        <f t="shared" si="1"/>
        <v>362243.91</v>
      </c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</row>
    <row r="448">
      <c r="A448" s="150"/>
      <c r="B448" s="151"/>
      <c r="C448" s="152"/>
      <c r="D448" s="153"/>
      <c r="E448" s="154"/>
      <c r="F448" s="85"/>
      <c r="G448" s="155"/>
      <c r="H448" s="156">
        <f t="shared" si="1"/>
        <v>362243.91</v>
      </c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</row>
    <row r="449">
      <c r="A449" s="150"/>
      <c r="B449" s="151"/>
      <c r="C449" s="152"/>
      <c r="D449" s="153"/>
      <c r="E449" s="154"/>
      <c r="F449" s="85"/>
      <c r="G449" s="155"/>
      <c r="H449" s="156">
        <f t="shared" si="1"/>
        <v>362243.91</v>
      </c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</row>
    <row r="450">
      <c r="A450" s="150"/>
      <c r="B450" s="151"/>
      <c r="C450" s="152"/>
      <c r="D450" s="153"/>
      <c r="E450" s="154"/>
      <c r="F450" s="85"/>
      <c r="G450" s="155"/>
      <c r="H450" s="156">
        <f t="shared" si="1"/>
        <v>362243.91</v>
      </c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</row>
    <row r="451">
      <c r="A451" s="150"/>
      <c r="B451" s="151"/>
      <c r="C451" s="152"/>
      <c r="D451" s="153"/>
      <c r="E451" s="154"/>
      <c r="F451" s="85"/>
      <c r="G451" s="155"/>
      <c r="H451" s="156">
        <f t="shared" si="1"/>
        <v>362243.91</v>
      </c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</row>
    <row r="452">
      <c r="A452" s="150"/>
      <c r="B452" s="151"/>
      <c r="C452" s="152"/>
      <c r="D452" s="153"/>
      <c r="E452" s="154"/>
      <c r="F452" s="85"/>
      <c r="G452" s="155"/>
      <c r="H452" s="156">
        <f t="shared" si="1"/>
        <v>362243.91</v>
      </c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</row>
    <row r="453">
      <c r="A453" s="150"/>
      <c r="B453" s="151"/>
      <c r="C453" s="152"/>
      <c r="D453" s="153"/>
      <c r="E453" s="154"/>
      <c r="F453" s="85"/>
      <c r="G453" s="155"/>
      <c r="H453" s="156">
        <f t="shared" si="1"/>
        <v>362243.91</v>
      </c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</row>
    <row r="454">
      <c r="A454" s="150"/>
      <c r="B454" s="151"/>
      <c r="C454" s="152"/>
      <c r="D454" s="153"/>
      <c r="E454" s="154"/>
      <c r="F454" s="85"/>
      <c r="G454" s="155"/>
      <c r="H454" s="156">
        <f t="shared" si="1"/>
        <v>362243.91</v>
      </c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</row>
    <row r="455">
      <c r="A455" s="150"/>
      <c r="B455" s="151"/>
      <c r="C455" s="152"/>
      <c r="D455" s="153"/>
      <c r="E455" s="154"/>
      <c r="F455" s="85"/>
      <c r="G455" s="155"/>
      <c r="H455" s="156">
        <f t="shared" si="1"/>
        <v>362243.91</v>
      </c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</row>
    <row r="456">
      <c r="A456" s="150"/>
      <c r="B456" s="151"/>
      <c r="C456" s="152"/>
      <c r="D456" s="153"/>
      <c r="E456" s="154"/>
      <c r="F456" s="85"/>
      <c r="G456" s="155"/>
      <c r="H456" s="156">
        <f t="shared" si="1"/>
        <v>362243.91</v>
      </c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</row>
    <row r="457">
      <c r="A457" s="150"/>
      <c r="B457" s="151"/>
      <c r="C457" s="152"/>
      <c r="D457" s="153"/>
      <c r="E457" s="154"/>
      <c r="F457" s="85"/>
      <c r="G457" s="155"/>
      <c r="H457" s="156">
        <f t="shared" si="1"/>
        <v>362243.91</v>
      </c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</row>
    <row r="458">
      <c r="A458" s="150"/>
      <c r="B458" s="151"/>
      <c r="C458" s="152"/>
      <c r="D458" s="153"/>
      <c r="E458" s="154"/>
      <c r="F458" s="85"/>
      <c r="G458" s="155"/>
      <c r="H458" s="156">
        <f t="shared" si="1"/>
        <v>362243.91</v>
      </c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</row>
    <row r="459">
      <c r="A459" s="150"/>
      <c r="B459" s="151"/>
      <c r="C459" s="152"/>
      <c r="D459" s="153"/>
      <c r="E459" s="154"/>
      <c r="F459" s="85"/>
      <c r="G459" s="155"/>
      <c r="H459" s="156">
        <f t="shared" si="1"/>
        <v>362243.91</v>
      </c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</row>
    <row r="460">
      <c r="A460" s="150"/>
      <c r="B460" s="151"/>
      <c r="C460" s="152"/>
      <c r="D460" s="153"/>
      <c r="E460" s="154"/>
      <c r="F460" s="85"/>
      <c r="G460" s="155"/>
      <c r="H460" s="156">
        <f t="shared" si="1"/>
        <v>362243.91</v>
      </c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</row>
    <row r="461">
      <c r="A461" s="150"/>
      <c r="B461" s="151"/>
      <c r="C461" s="152"/>
      <c r="D461" s="153"/>
      <c r="E461" s="154"/>
      <c r="F461" s="85"/>
      <c r="G461" s="155"/>
      <c r="H461" s="156">
        <f t="shared" si="1"/>
        <v>362243.91</v>
      </c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</row>
    <row r="462">
      <c r="A462" s="150"/>
      <c r="B462" s="151"/>
      <c r="C462" s="152"/>
      <c r="D462" s="153"/>
      <c r="E462" s="154"/>
      <c r="F462" s="85"/>
      <c r="G462" s="155"/>
      <c r="H462" s="156">
        <f t="shared" si="1"/>
        <v>362243.91</v>
      </c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</row>
    <row r="463">
      <c r="A463" s="150"/>
      <c r="B463" s="151"/>
      <c r="C463" s="152"/>
      <c r="D463" s="153"/>
      <c r="E463" s="154"/>
      <c r="F463" s="85"/>
      <c r="G463" s="155"/>
      <c r="H463" s="156">
        <f t="shared" si="1"/>
        <v>362243.91</v>
      </c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</row>
    <row r="464">
      <c r="A464" s="150"/>
      <c r="B464" s="151"/>
      <c r="C464" s="152"/>
      <c r="D464" s="153"/>
      <c r="E464" s="154"/>
      <c r="F464" s="85"/>
      <c r="G464" s="155"/>
      <c r="H464" s="156">
        <f t="shared" si="1"/>
        <v>362243.91</v>
      </c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</row>
    <row r="465">
      <c r="A465" s="150"/>
      <c r="B465" s="151"/>
      <c r="C465" s="152"/>
      <c r="D465" s="153"/>
      <c r="E465" s="154"/>
      <c r="F465" s="85"/>
      <c r="G465" s="155"/>
      <c r="H465" s="156">
        <f t="shared" si="1"/>
        <v>362243.91</v>
      </c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</row>
    <row r="466">
      <c r="A466" s="150"/>
      <c r="B466" s="151"/>
      <c r="C466" s="152"/>
      <c r="D466" s="153"/>
      <c r="E466" s="154"/>
      <c r="F466" s="85"/>
      <c r="G466" s="155"/>
      <c r="H466" s="156">
        <f t="shared" si="1"/>
        <v>362243.91</v>
      </c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</row>
    <row r="467">
      <c r="A467" s="150"/>
      <c r="B467" s="151"/>
      <c r="C467" s="152"/>
      <c r="D467" s="153"/>
      <c r="E467" s="154"/>
      <c r="F467" s="85"/>
      <c r="G467" s="155"/>
      <c r="H467" s="156">
        <f t="shared" si="1"/>
        <v>362243.91</v>
      </c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</row>
    <row r="468">
      <c r="A468" s="150"/>
      <c r="B468" s="151"/>
      <c r="C468" s="152"/>
      <c r="D468" s="153"/>
      <c r="E468" s="154"/>
      <c r="F468" s="85"/>
      <c r="G468" s="155"/>
      <c r="H468" s="156">
        <f t="shared" si="1"/>
        <v>362243.91</v>
      </c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</row>
    <row r="469">
      <c r="A469" s="150"/>
      <c r="B469" s="151"/>
      <c r="C469" s="152"/>
      <c r="D469" s="153"/>
      <c r="E469" s="154"/>
      <c r="F469" s="85"/>
      <c r="G469" s="155"/>
      <c r="H469" s="156">
        <f t="shared" si="1"/>
        <v>362243.91</v>
      </c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</row>
    <row r="470">
      <c r="A470" s="150"/>
      <c r="B470" s="151"/>
      <c r="C470" s="152"/>
      <c r="D470" s="153"/>
      <c r="E470" s="154"/>
      <c r="F470" s="85"/>
      <c r="G470" s="155"/>
      <c r="H470" s="156">
        <f t="shared" si="1"/>
        <v>362243.91</v>
      </c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</row>
    <row r="471">
      <c r="A471" s="150"/>
      <c r="B471" s="151"/>
      <c r="C471" s="152"/>
      <c r="D471" s="153"/>
      <c r="E471" s="154"/>
      <c r="F471" s="85"/>
      <c r="G471" s="155"/>
      <c r="H471" s="156">
        <f t="shared" si="1"/>
        <v>362243.91</v>
      </c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</row>
    <row r="472">
      <c r="A472" s="150"/>
      <c r="B472" s="151"/>
      <c r="C472" s="152"/>
      <c r="D472" s="153"/>
      <c r="E472" s="154"/>
      <c r="F472" s="85"/>
      <c r="G472" s="155"/>
      <c r="H472" s="156">
        <f t="shared" si="1"/>
        <v>362243.91</v>
      </c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</row>
    <row r="473">
      <c r="A473" s="150"/>
      <c r="B473" s="151"/>
      <c r="C473" s="152"/>
      <c r="D473" s="153"/>
      <c r="E473" s="154"/>
      <c r="F473" s="85"/>
      <c r="G473" s="155"/>
      <c r="H473" s="156">
        <f t="shared" si="1"/>
        <v>362243.91</v>
      </c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</row>
    <row r="474">
      <c r="A474" s="150"/>
      <c r="B474" s="151"/>
      <c r="C474" s="152"/>
      <c r="D474" s="153"/>
      <c r="E474" s="154"/>
      <c r="F474" s="85"/>
      <c r="G474" s="155"/>
      <c r="H474" s="156">
        <f t="shared" si="1"/>
        <v>362243.91</v>
      </c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</row>
    <row r="475">
      <c r="A475" s="150"/>
      <c r="B475" s="151"/>
      <c r="C475" s="152"/>
      <c r="D475" s="153"/>
      <c r="E475" s="154"/>
      <c r="F475" s="85"/>
      <c r="G475" s="155"/>
      <c r="H475" s="156">
        <f t="shared" si="1"/>
        <v>362243.91</v>
      </c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</row>
    <row r="476">
      <c r="A476" s="150"/>
      <c r="B476" s="151"/>
      <c r="C476" s="152"/>
      <c r="D476" s="153"/>
      <c r="E476" s="154"/>
      <c r="F476" s="85"/>
      <c r="G476" s="155"/>
      <c r="H476" s="156">
        <f t="shared" si="1"/>
        <v>362243.91</v>
      </c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</row>
    <row r="477">
      <c r="A477" s="150"/>
      <c r="B477" s="151"/>
      <c r="C477" s="152"/>
      <c r="D477" s="153"/>
      <c r="E477" s="154"/>
      <c r="F477" s="85"/>
      <c r="G477" s="155"/>
      <c r="H477" s="156">
        <f t="shared" si="1"/>
        <v>362243.91</v>
      </c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</row>
    <row r="478">
      <c r="A478" s="150"/>
      <c r="B478" s="151"/>
      <c r="C478" s="152"/>
      <c r="D478" s="153"/>
      <c r="E478" s="154"/>
      <c r="F478" s="85"/>
      <c r="G478" s="155"/>
      <c r="H478" s="156">
        <f t="shared" si="1"/>
        <v>362243.91</v>
      </c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</row>
    <row r="479">
      <c r="A479" s="150"/>
      <c r="B479" s="151"/>
      <c r="C479" s="152"/>
      <c r="D479" s="153"/>
      <c r="E479" s="154"/>
      <c r="F479" s="85"/>
      <c r="G479" s="155"/>
      <c r="H479" s="156">
        <f t="shared" si="1"/>
        <v>362243.91</v>
      </c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</row>
    <row r="480">
      <c r="A480" s="150"/>
      <c r="B480" s="151"/>
      <c r="C480" s="152"/>
      <c r="D480" s="153"/>
      <c r="E480" s="154"/>
      <c r="F480" s="85"/>
      <c r="G480" s="155"/>
      <c r="H480" s="156">
        <f t="shared" si="1"/>
        <v>362243.91</v>
      </c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</row>
    <row r="481">
      <c r="A481" s="150"/>
      <c r="B481" s="151"/>
      <c r="C481" s="152"/>
      <c r="D481" s="153"/>
      <c r="E481" s="154"/>
      <c r="F481" s="85"/>
      <c r="G481" s="155"/>
      <c r="H481" s="156">
        <f t="shared" si="1"/>
        <v>362243.91</v>
      </c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</row>
    <row r="482">
      <c r="A482" s="150"/>
      <c r="B482" s="151"/>
      <c r="C482" s="152"/>
      <c r="D482" s="153"/>
      <c r="E482" s="154"/>
      <c r="F482" s="85"/>
      <c r="G482" s="155"/>
      <c r="H482" s="156">
        <f t="shared" si="1"/>
        <v>362243.91</v>
      </c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</row>
    <row r="483">
      <c r="A483" s="150"/>
      <c r="B483" s="151"/>
      <c r="C483" s="152"/>
      <c r="D483" s="153"/>
      <c r="E483" s="154"/>
      <c r="F483" s="85"/>
      <c r="G483" s="155"/>
      <c r="H483" s="156">
        <f t="shared" si="1"/>
        <v>362243.91</v>
      </c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</row>
    <row r="484">
      <c r="A484" s="150"/>
      <c r="B484" s="151"/>
      <c r="C484" s="152"/>
      <c r="D484" s="153"/>
      <c r="E484" s="154"/>
      <c r="F484" s="85"/>
      <c r="G484" s="155"/>
      <c r="H484" s="156">
        <f t="shared" si="1"/>
        <v>362243.91</v>
      </c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</row>
    <row r="485">
      <c r="A485" s="150"/>
      <c r="B485" s="151"/>
      <c r="C485" s="152"/>
      <c r="D485" s="153"/>
      <c r="E485" s="154"/>
      <c r="F485" s="85"/>
      <c r="G485" s="155"/>
      <c r="H485" s="156">
        <f t="shared" si="1"/>
        <v>362243.91</v>
      </c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</row>
    <row r="486">
      <c r="A486" s="150"/>
      <c r="B486" s="151"/>
      <c r="C486" s="152"/>
      <c r="D486" s="153"/>
      <c r="E486" s="154"/>
      <c r="F486" s="85"/>
      <c r="G486" s="155"/>
      <c r="H486" s="156">
        <f t="shared" si="1"/>
        <v>362243.91</v>
      </c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</row>
    <row r="487">
      <c r="A487" s="150"/>
      <c r="B487" s="151"/>
      <c r="C487" s="152"/>
      <c r="D487" s="153"/>
      <c r="E487" s="154"/>
      <c r="F487" s="85"/>
      <c r="G487" s="155"/>
      <c r="H487" s="156">
        <f t="shared" si="1"/>
        <v>362243.91</v>
      </c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</row>
    <row r="488">
      <c r="A488" s="150"/>
      <c r="B488" s="151"/>
      <c r="C488" s="152"/>
      <c r="D488" s="153"/>
      <c r="E488" s="154"/>
      <c r="F488" s="85"/>
      <c r="G488" s="155"/>
      <c r="H488" s="156">
        <f t="shared" si="1"/>
        <v>362243.91</v>
      </c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</row>
    <row r="489">
      <c r="A489" s="150"/>
      <c r="B489" s="151"/>
      <c r="C489" s="152"/>
      <c r="D489" s="153"/>
      <c r="E489" s="154"/>
      <c r="F489" s="85"/>
      <c r="G489" s="155"/>
      <c r="H489" s="156">
        <f t="shared" si="1"/>
        <v>362243.91</v>
      </c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</row>
    <row r="490">
      <c r="A490" s="150"/>
      <c r="B490" s="151"/>
      <c r="C490" s="152"/>
      <c r="D490" s="153"/>
      <c r="E490" s="154"/>
      <c r="F490" s="85"/>
      <c r="G490" s="155"/>
      <c r="H490" s="156">
        <f t="shared" si="1"/>
        <v>362243.91</v>
      </c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</row>
    <row r="491">
      <c r="A491" s="150"/>
      <c r="B491" s="151"/>
      <c r="C491" s="152"/>
      <c r="D491" s="153"/>
      <c r="E491" s="154"/>
      <c r="F491" s="85"/>
      <c r="G491" s="155"/>
      <c r="H491" s="156">
        <f t="shared" si="1"/>
        <v>362243.91</v>
      </c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</row>
    <row r="492">
      <c r="A492" s="150"/>
      <c r="B492" s="151"/>
      <c r="C492" s="152"/>
      <c r="D492" s="153"/>
      <c r="E492" s="154"/>
      <c r="F492" s="85"/>
      <c r="G492" s="155"/>
      <c r="H492" s="156">
        <f t="shared" si="1"/>
        <v>362243.91</v>
      </c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</row>
    <row r="493">
      <c r="A493" s="150"/>
      <c r="B493" s="151"/>
      <c r="C493" s="152"/>
      <c r="D493" s="153"/>
      <c r="E493" s="154"/>
      <c r="F493" s="85"/>
      <c r="G493" s="155"/>
      <c r="H493" s="156">
        <f t="shared" si="1"/>
        <v>362243.91</v>
      </c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</row>
    <row r="494">
      <c r="A494" s="150"/>
      <c r="B494" s="151"/>
      <c r="C494" s="152"/>
      <c r="D494" s="153"/>
      <c r="E494" s="154"/>
      <c r="F494" s="85"/>
      <c r="G494" s="155"/>
      <c r="H494" s="156">
        <f t="shared" si="1"/>
        <v>362243.91</v>
      </c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</row>
    <row r="495">
      <c r="A495" s="150"/>
      <c r="B495" s="151"/>
      <c r="C495" s="152"/>
      <c r="D495" s="153"/>
      <c r="E495" s="154"/>
      <c r="F495" s="85"/>
      <c r="G495" s="155"/>
      <c r="H495" s="156">
        <f t="shared" si="1"/>
        <v>362243.91</v>
      </c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</row>
    <row r="496">
      <c r="A496" s="150"/>
      <c r="B496" s="151"/>
      <c r="C496" s="152"/>
      <c r="D496" s="153"/>
      <c r="E496" s="154"/>
      <c r="F496" s="85"/>
      <c r="G496" s="155"/>
      <c r="H496" s="156">
        <f t="shared" si="1"/>
        <v>362243.91</v>
      </c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</row>
    <row r="497">
      <c r="A497" s="150"/>
      <c r="B497" s="151"/>
      <c r="C497" s="152"/>
      <c r="D497" s="153"/>
      <c r="E497" s="154"/>
      <c r="F497" s="85"/>
      <c r="G497" s="155"/>
      <c r="H497" s="156">
        <f t="shared" si="1"/>
        <v>362243.91</v>
      </c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</row>
    <row r="498">
      <c r="A498" s="150"/>
      <c r="B498" s="151"/>
      <c r="C498" s="152"/>
      <c r="D498" s="153"/>
      <c r="E498" s="154"/>
      <c r="F498" s="85"/>
      <c r="G498" s="155"/>
      <c r="H498" s="156">
        <f t="shared" si="1"/>
        <v>362243.91</v>
      </c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</row>
    <row r="499">
      <c r="A499" s="150"/>
      <c r="B499" s="151"/>
      <c r="C499" s="152"/>
      <c r="D499" s="153"/>
      <c r="E499" s="154"/>
      <c r="F499" s="85"/>
      <c r="G499" s="155"/>
      <c r="H499" s="156">
        <f t="shared" si="1"/>
        <v>362243.91</v>
      </c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</row>
    <row r="500">
      <c r="A500" s="150"/>
      <c r="B500" s="151"/>
      <c r="C500" s="152"/>
      <c r="D500" s="153"/>
      <c r="E500" s="154"/>
      <c r="F500" s="85"/>
      <c r="G500" s="155"/>
      <c r="H500" s="156">
        <f t="shared" si="1"/>
        <v>362243.91</v>
      </c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</row>
    <row r="501">
      <c r="A501" s="150"/>
      <c r="B501" s="151"/>
      <c r="C501" s="152"/>
      <c r="D501" s="153"/>
      <c r="E501" s="154"/>
      <c r="F501" s="85"/>
      <c r="G501" s="155"/>
      <c r="H501" s="156">
        <f t="shared" si="1"/>
        <v>362243.91</v>
      </c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</row>
    <row r="502">
      <c r="A502" s="150"/>
      <c r="B502" s="151"/>
      <c r="C502" s="152"/>
      <c r="D502" s="153"/>
      <c r="E502" s="154"/>
      <c r="F502" s="85"/>
      <c r="G502" s="155"/>
      <c r="H502" s="156">
        <f t="shared" si="1"/>
        <v>362243.91</v>
      </c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</row>
    <row r="503">
      <c r="A503" s="150"/>
      <c r="B503" s="151"/>
      <c r="C503" s="152"/>
      <c r="D503" s="153"/>
      <c r="E503" s="154"/>
      <c r="F503" s="85"/>
      <c r="G503" s="155"/>
      <c r="H503" s="156">
        <f t="shared" si="1"/>
        <v>362243.91</v>
      </c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</row>
    <row r="504">
      <c r="A504" s="150"/>
      <c r="B504" s="151"/>
      <c r="C504" s="152"/>
      <c r="D504" s="153"/>
      <c r="E504" s="154"/>
      <c r="F504" s="85"/>
      <c r="G504" s="155"/>
      <c r="H504" s="156">
        <f t="shared" si="1"/>
        <v>362243.91</v>
      </c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</row>
    <row r="505">
      <c r="A505" s="150"/>
      <c r="B505" s="151"/>
      <c r="C505" s="152"/>
      <c r="D505" s="153"/>
      <c r="E505" s="154"/>
      <c r="F505" s="85"/>
      <c r="G505" s="155"/>
      <c r="H505" s="156">
        <f t="shared" si="1"/>
        <v>362243.91</v>
      </c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</row>
    <row r="506">
      <c r="A506" s="150"/>
      <c r="B506" s="151"/>
      <c r="C506" s="152"/>
      <c r="D506" s="153"/>
      <c r="E506" s="154"/>
      <c r="F506" s="85"/>
      <c r="G506" s="155"/>
      <c r="H506" s="156">
        <f t="shared" si="1"/>
        <v>362243.91</v>
      </c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</row>
    <row r="507">
      <c r="A507" s="150"/>
      <c r="B507" s="151"/>
      <c r="C507" s="152"/>
      <c r="D507" s="153"/>
      <c r="E507" s="154"/>
      <c r="F507" s="85"/>
      <c r="G507" s="155"/>
      <c r="H507" s="156">
        <f t="shared" si="1"/>
        <v>362243.91</v>
      </c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</row>
    <row r="508">
      <c r="A508" s="150"/>
      <c r="B508" s="151"/>
      <c r="C508" s="152"/>
      <c r="D508" s="153"/>
      <c r="E508" s="154"/>
      <c r="F508" s="85"/>
      <c r="G508" s="155"/>
      <c r="H508" s="156">
        <f t="shared" si="1"/>
        <v>362243.91</v>
      </c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</row>
    <row r="509">
      <c r="A509" s="150"/>
      <c r="B509" s="151"/>
      <c r="C509" s="152"/>
      <c r="D509" s="153"/>
      <c r="E509" s="154"/>
      <c r="F509" s="85"/>
      <c r="G509" s="155"/>
      <c r="H509" s="156">
        <f t="shared" si="1"/>
        <v>362243.91</v>
      </c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</row>
    <row r="510">
      <c r="A510" s="150"/>
      <c r="B510" s="151"/>
      <c r="C510" s="152"/>
      <c r="D510" s="153"/>
      <c r="E510" s="154"/>
      <c r="F510" s="85"/>
      <c r="G510" s="155"/>
      <c r="H510" s="156">
        <f t="shared" si="1"/>
        <v>362243.91</v>
      </c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</row>
    <row r="511">
      <c r="A511" s="150"/>
      <c r="B511" s="151"/>
      <c r="C511" s="152"/>
      <c r="D511" s="153"/>
      <c r="E511" s="154"/>
      <c r="F511" s="85"/>
      <c r="G511" s="155"/>
      <c r="H511" s="156">
        <f t="shared" si="1"/>
        <v>362243.91</v>
      </c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</row>
    <row r="512">
      <c r="A512" s="150"/>
      <c r="B512" s="151"/>
      <c r="C512" s="152"/>
      <c r="D512" s="153"/>
      <c r="E512" s="154"/>
      <c r="F512" s="85"/>
      <c r="G512" s="155"/>
      <c r="H512" s="156">
        <f t="shared" si="1"/>
        <v>362243.91</v>
      </c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</row>
    <row r="513">
      <c r="A513" s="150"/>
      <c r="B513" s="151"/>
      <c r="C513" s="152"/>
      <c r="D513" s="153"/>
      <c r="E513" s="154"/>
      <c r="F513" s="85"/>
      <c r="G513" s="155"/>
      <c r="H513" s="156">
        <f t="shared" si="1"/>
        <v>362243.91</v>
      </c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</row>
    <row r="514">
      <c r="A514" s="150"/>
      <c r="B514" s="151"/>
      <c r="C514" s="152"/>
      <c r="D514" s="153"/>
      <c r="E514" s="154"/>
      <c r="F514" s="85"/>
      <c r="G514" s="155"/>
      <c r="H514" s="156">
        <f t="shared" si="1"/>
        <v>362243.91</v>
      </c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</row>
    <row r="515">
      <c r="A515" s="150"/>
      <c r="B515" s="151"/>
      <c r="C515" s="152"/>
      <c r="D515" s="153"/>
      <c r="E515" s="154"/>
      <c r="F515" s="85"/>
      <c r="G515" s="155"/>
      <c r="H515" s="156">
        <f t="shared" si="1"/>
        <v>362243.91</v>
      </c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</row>
    <row r="516">
      <c r="A516" s="150"/>
      <c r="B516" s="151"/>
      <c r="C516" s="152"/>
      <c r="D516" s="153"/>
      <c r="E516" s="154"/>
      <c r="F516" s="85"/>
      <c r="G516" s="155"/>
      <c r="H516" s="156">
        <f t="shared" si="1"/>
        <v>362243.91</v>
      </c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</row>
    <row r="517">
      <c r="A517" s="150"/>
      <c r="B517" s="151"/>
      <c r="C517" s="152"/>
      <c r="D517" s="153"/>
      <c r="E517" s="154"/>
      <c r="F517" s="85"/>
      <c r="G517" s="155"/>
      <c r="H517" s="156">
        <f t="shared" si="1"/>
        <v>362243.91</v>
      </c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</row>
    <row r="518">
      <c r="A518" s="150"/>
      <c r="B518" s="151"/>
      <c r="C518" s="152"/>
      <c r="D518" s="153"/>
      <c r="E518" s="154"/>
      <c r="F518" s="85"/>
      <c r="G518" s="155"/>
      <c r="H518" s="156">
        <f t="shared" si="1"/>
        <v>362243.91</v>
      </c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</row>
    <row r="519">
      <c r="A519" s="150"/>
      <c r="B519" s="151"/>
      <c r="C519" s="152"/>
      <c r="D519" s="153"/>
      <c r="E519" s="154"/>
      <c r="F519" s="85"/>
      <c r="G519" s="155"/>
      <c r="H519" s="156">
        <f t="shared" si="1"/>
        <v>362243.91</v>
      </c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</row>
    <row r="520">
      <c r="A520" s="150"/>
      <c r="B520" s="151"/>
      <c r="C520" s="152"/>
      <c r="D520" s="153"/>
      <c r="E520" s="154"/>
      <c r="F520" s="85"/>
      <c r="G520" s="155"/>
      <c r="H520" s="156">
        <f t="shared" si="1"/>
        <v>362243.91</v>
      </c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</row>
    <row r="521">
      <c r="A521" s="150"/>
      <c r="B521" s="151"/>
      <c r="C521" s="152"/>
      <c r="D521" s="153"/>
      <c r="E521" s="154"/>
      <c r="F521" s="85"/>
      <c r="G521" s="155"/>
      <c r="H521" s="156">
        <f t="shared" si="1"/>
        <v>362243.91</v>
      </c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</row>
    <row r="522">
      <c r="A522" s="150"/>
      <c r="B522" s="151"/>
      <c r="C522" s="152"/>
      <c r="D522" s="153"/>
      <c r="E522" s="154"/>
      <c r="F522" s="85"/>
      <c r="G522" s="155"/>
      <c r="H522" s="156">
        <f t="shared" si="1"/>
        <v>362243.91</v>
      </c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</row>
    <row r="523">
      <c r="A523" s="150"/>
      <c r="B523" s="151"/>
      <c r="C523" s="152"/>
      <c r="D523" s="153"/>
      <c r="E523" s="154"/>
      <c r="F523" s="85"/>
      <c r="G523" s="155"/>
      <c r="H523" s="156">
        <f t="shared" si="1"/>
        <v>362243.91</v>
      </c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</row>
    <row r="524">
      <c r="A524" s="150"/>
      <c r="B524" s="151"/>
      <c r="C524" s="152"/>
      <c r="D524" s="153"/>
      <c r="E524" s="154"/>
      <c r="F524" s="85"/>
      <c r="G524" s="155"/>
      <c r="H524" s="156">
        <f t="shared" si="1"/>
        <v>362243.91</v>
      </c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</row>
    <row r="525">
      <c r="A525" s="150"/>
      <c r="B525" s="151"/>
      <c r="C525" s="152"/>
      <c r="D525" s="153"/>
      <c r="E525" s="154"/>
      <c r="F525" s="85"/>
      <c r="G525" s="155"/>
      <c r="H525" s="156">
        <f t="shared" si="1"/>
        <v>362243.91</v>
      </c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</row>
    <row r="526">
      <c r="A526" s="150"/>
      <c r="B526" s="151"/>
      <c r="C526" s="152"/>
      <c r="D526" s="153"/>
      <c r="E526" s="154"/>
      <c r="F526" s="85"/>
      <c r="G526" s="155"/>
      <c r="H526" s="156">
        <f t="shared" si="1"/>
        <v>362243.91</v>
      </c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</row>
    <row r="527">
      <c r="A527" s="150"/>
      <c r="B527" s="151"/>
      <c r="C527" s="152"/>
      <c r="D527" s="153"/>
      <c r="E527" s="154"/>
      <c r="F527" s="85"/>
      <c r="G527" s="155"/>
      <c r="H527" s="156">
        <f t="shared" si="1"/>
        <v>362243.91</v>
      </c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</row>
    <row r="528">
      <c r="A528" s="150"/>
      <c r="B528" s="151"/>
      <c r="C528" s="152"/>
      <c r="D528" s="153"/>
      <c r="E528" s="154"/>
      <c r="F528" s="85"/>
      <c r="G528" s="155"/>
      <c r="H528" s="156">
        <f t="shared" si="1"/>
        <v>362243.91</v>
      </c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</row>
    <row r="529">
      <c r="A529" s="150"/>
      <c r="B529" s="151"/>
      <c r="C529" s="152"/>
      <c r="D529" s="153"/>
      <c r="E529" s="154"/>
      <c r="F529" s="85"/>
      <c r="G529" s="155"/>
      <c r="H529" s="156">
        <f t="shared" si="1"/>
        <v>362243.91</v>
      </c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</row>
    <row r="530">
      <c r="A530" s="150"/>
      <c r="B530" s="151"/>
      <c r="C530" s="152"/>
      <c r="D530" s="153"/>
      <c r="E530" s="154"/>
      <c r="F530" s="85"/>
      <c r="G530" s="155"/>
      <c r="H530" s="156">
        <f t="shared" si="1"/>
        <v>362243.91</v>
      </c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</row>
    <row r="531">
      <c r="A531" s="150"/>
      <c r="B531" s="151"/>
      <c r="C531" s="152"/>
      <c r="D531" s="153"/>
      <c r="E531" s="154"/>
      <c r="F531" s="85"/>
      <c r="G531" s="155"/>
      <c r="H531" s="156">
        <f t="shared" si="1"/>
        <v>362243.91</v>
      </c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</row>
    <row r="532">
      <c r="A532" s="150"/>
      <c r="B532" s="151"/>
      <c r="C532" s="152"/>
      <c r="D532" s="153"/>
      <c r="E532" s="154"/>
      <c r="F532" s="85"/>
      <c r="G532" s="155"/>
      <c r="H532" s="156">
        <f t="shared" si="1"/>
        <v>362243.91</v>
      </c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</row>
    <row r="533">
      <c r="A533" s="150"/>
      <c r="B533" s="151"/>
      <c r="C533" s="152"/>
      <c r="D533" s="153"/>
      <c r="E533" s="154"/>
      <c r="F533" s="85"/>
      <c r="G533" s="155"/>
      <c r="H533" s="156">
        <f t="shared" si="1"/>
        <v>362243.91</v>
      </c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</row>
    <row r="534">
      <c r="A534" s="150"/>
      <c r="B534" s="151"/>
      <c r="C534" s="152"/>
      <c r="D534" s="153"/>
      <c r="E534" s="154"/>
      <c r="F534" s="85"/>
      <c r="G534" s="155"/>
      <c r="H534" s="156">
        <f t="shared" si="1"/>
        <v>362243.91</v>
      </c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</row>
    <row r="535">
      <c r="A535" s="150"/>
      <c r="B535" s="151"/>
      <c r="C535" s="152"/>
      <c r="D535" s="153"/>
      <c r="E535" s="154"/>
      <c r="F535" s="85"/>
      <c r="G535" s="155"/>
      <c r="H535" s="156">
        <f t="shared" si="1"/>
        <v>362243.91</v>
      </c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</row>
    <row r="536">
      <c r="A536" s="150"/>
      <c r="B536" s="151"/>
      <c r="C536" s="152"/>
      <c r="D536" s="153"/>
      <c r="E536" s="154"/>
      <c r="F536" s="85"/>
      <c r="G536" s="155"/>
      <c r="H536" s="156">
        <f t="shared" si="1"/>
        <v>362243.91</v>
      </c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</row>
    <row r="537">
      <c r="A537" s="150"/>
      <c r="B537" s="151"/>
      <c r="C537" s="152"/>
      <c r="D537" s="153"/>
      <c r="E537" s="154"/>
      <c r="F537" s="85"/>
      <c r="G537" s="155"/>
      <c r="H537" s="156">
        <f t="shared" si="1"/>
        <v>362243.91</v>
      </c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</row>
    <row r="538">
      <c r="A538" s="150"/>
      <c r="B538" s="151"/>
      <c r="C538" s="152"/>
      <c r="D538" s="153"/>
      <c r="E538" s="154"/>
      <c r="F538" s="85"/>
      <c r="G538" s="155"/>
      <c r="H538" s="156">
        <f t="shared" si="1"/>
        <v>362243.91</v>
      </c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</row>
    <row r="539">
      <c r="A539" s="150"/>
      <c r="B539" s="151"/>
      <c r="C539" s="152"/>
      <c r="D539" s="153"/>
      <c r="E539" s="154"/>
      <c r="F539" s="85"/>
      <c r="G539" s="155"/>
      <c r="H539" s="156">
        <f t="shared" si="1"/>
        <v>362243.91</v>
      </c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</row>
    <row r="540">
      <c r="A540" s="150"/>
      <c r="B540" s="151"/>
      <c r="C540" s="152"/>
      <c r="D540" s="153"/>
      <c r="E540" s="154"/>
      <c r="F540" s="85"/>
      <c r="G540" s="155"/>
      <c r="H540" s="156">
        <f t="shared" si="1"/>
        <v>362243.91</v>
      </c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</row>
    <row r="541">
      <c r="A541" s="150"/>
      <c r="B541" s="151"/>
      <c r="C541" s="152"/>
      <c r="D541" s="153"/>
      <c r="E541" s="154"/>
      <c r="F541" s="85"/>
      <c r="G541" s="155"/>
      <c r="H541" s="156">
        <f t="shared" si="1"/>
        <v>362243.91</v>
      </c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</row>
    <row r="542">
      <c r="A542" s="150"/>
      <c r="B542" s="151"/>
      <c r="C542" s="152"/>
      <c r="D542" s="153"/>
      <c r="E542" s="154"/>
      <c r="F542" s="85"/>
      <c r="G542" s="155"/>
      <c r="H542" s="156">
        <f t="shared" si="1"/>
        <v>362243.91</v>
      </c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</row>
    <row r="543">
      <c r="A543" s="150"/>
      <c r="B543" s="151"/>
      <c r="C543" s="152"/>
      <c r="D543" s="153"/>
      <c r="E543" s="154"/>
      <c r="F543" s="85"/>
      <c r="G543" s="155"/>
      <c r="H543" s="156">
        <f t="shared" si="1"/>
        <v>362243.91</v>
      </c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</row>
    <row r="544">
      <c r="A544" s="150"/>
      <c r="B544" s="151"/>
      <c r="C544" s="152"/>
      <c r="D544" s="153"/>
      <c r="E544" s="154"/>
      <c r="F544" s="85"/>
      <c r="G544" s="155"/>
      <c r="H544" s="156">
        <f t="shared" si="1"/>
        <v>362243.91</v>
      </c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</row>
    <row r="545">
      <c r="A545" s="150"/>
      <c r="B545" s="151"/>
      <c r="C545" s="152"/>
      <c r="D545" s="153"/>
      <c r="E545" s="154"/>
      <c r="F545" s="85"/>
      <c r="G545" s="155"/>
      <c r="H545" s="156">
        <f t="shared" si="1"/>
        <v>362243.91</v>
      </c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</row>
    <row r="546">
      <c r="A546" s="150"/>
      <c r="B546" s="151"/>
      <c r="C546" s="152"/>
      <c r="D546" s="153"/>
      <c r="E546" s="154"/>
      <c r="F546" s="85"/>
      <c r="G546" s="155"/>
      <c r="H546" s="156">
        <f t="shared" si="1"/>
        <v>362243.91</v>
      </c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</row>
    <row r="547">
      <c r="A547" s="150"/>
      <c r="B547" s="151"/>
      <c r="C547" s="152"/>
      <c r="D547" s="153"/>
      <c r="E547" s="154"/>
      <c r="F547" s="85"/>
      <c r="G547" s="155"/>
      <c r="H547" s="156">
        <f t="shared" si="1"/>
        <v>362243.91</v>
      </c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</row>
    <row r="548">
      <c r="A548" s="150"/>
      <c r="B548" s="151"/>
      <c r="C548" s="152"/>
      <c r="D548" s="153"/>
      <c r="E548" s="154"/>
      <c r="F548" s="85"/>
      <c r="G548" s="155"/>
      <c r="H548" s="156">
        <f t="shared" si="1"/>
        <v>362243.91</v>
      </c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</row>
    <row r="549">
      <c r="A549" s="150"/>
      <c r="B549" s="151"/>
      <c r="C549" s="152"/>
      <c r="D549" s="153"/>
      <c r="E549" s="154"/>
      <c r="F549" s="85"/>
      <c r="G549" s="155"/>
      <c r="H549" s="156">
        <f t="shared" si="1"/>
        <v>362243.91</v>
      </c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</row>
    <row r="550">
      <c r="A550" s="150"/>
      <c r="B550" s="151"/>
      <c r="C550" s="152"/>
      <c r="D550" s="153"/>
      <c r="E550" s="154"/>
      <c r="F550" s="85"/>
      <c r="G550" s="155"/>
      <c r="H550" s="156">
        <f t="shared" si="1"/>
        <v>362243.91</v>
      </c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</row>
    <row r="551">
      <c r="A551" s="150"/>
      <c r="B551" s="151"/>
      <c r="C551" s="152"/>
      <c r="D551" s="153"/>
      <c r="E551" s="154"/>
      <c r="F551" s="85"/>
      <c r="G551" s="155"/>
      <c r="H551" s="156">
        <f t="shared" si="1"/>
        <v>362243.91</v>
      </c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</row>
    <row r="552">
      <c r="A552" s="150"/>
      <c r="B552" s="151"/>
      <c r="C552" s="152"/>
      <c r="D552" s="153"/>
      <c r="E552" s="154"/>
      <c r="F552" s="85"/>
      <c r="G552" s="155"/>
      <c r="H552" s="156">
        <f t="shared" si="1"/>
        <v>362243.91</v>
      </c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</row>
    <row r="553">
      <c r="A553" s="150"/>
      <c r="B553" s="151"/>
      <c r="C553" s="152"/>
      <c r="D553" s="153"/>
      <c r="E553" s="154"/>
      <c r="F553" s="85"/>
      <c r="G553" s="155"/>
      <c r="H553" s="156">
        <f t="shared" si="1"/>
        <v>362243.91</v>
      </c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</row>
    <row r="554">
      <c r="A554" s="150"/>
      <c r="B554" s="151"/>
      <c r="C554" s="152"/>
      <c r="D554" s="153"/>
      <c r="E554" s="154"/>
      <c r="F554" s="85"/>
      <c r="G554" s="155"/>
      <c r="H554" s="156">
        <f t="shared" si="1"/>
        <v>362243.91</v>
      </c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</row>
    <row r="555">
      <c r="A555" s="150"/>
      <c r="B555" s="151"/>
      <c r="C555" s="152"/>
      <c r="D555" s="153"/>
      <c r="E555" s="154"/>
      <c r="F555" s="85"/>
      <c r="G555" s="155"/>
      <c r="H555" s="156">
        <f t="shared" si="1"/>
        <v>362243.91</v>
      </c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</row>
    <row r="556">
      <c r="A556" s="150"/>
      <c r="B556" s="151"/>
      <c r="C556" s="152"/>
      <c r="D556" s="153"/>
      <c r="E556" s="154"/>
      <c r="F556" s="85"/>
      <c r="G556" s="155"/>
      <c r="H556" s="156">
        <f t="shared" si="1"/>
        <v>362243.91</v>
      </c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</row>
    <row r="557">
      <c r="A557" s="150"/>
      <c r="B557" s="151"/>
      <c r="C557" s="152"/>
      <c r="D557" s="153"/>
      <c r="E557" s="154"/>
      <c r="F557" s="85"/>
      <c r="G557" s="155"/>
      <c r="H557" s="156">
        <f t="shared" si="1"/>
        <v>362243.91</v>
      </c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</row>
    <row r="558">
      <c r="A558" s="150"/>
      <c r="B558" s="151"/>
      <c r="C558" s="152"/>
      <c r="D558" s="153"/>
      <c r="E558" s="154"/>
      <c r="F558" s="85"/>
      <c r="G558" s="155"/>
      <c r="H558" s="156">
        <f t="shared" si="1"/>
        <v>362243.91</v>
      </c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</row>
    <row r="559">
      <c r="A559" s="150"/>
      <c r="B559" s="151"/>
      <c r="C559" s="152"/>
      <c r="D559" s="153"/>
      <c r="E559" s="154"/>
      <c r="F559" s="85"/>
      <c r="G559" s="155"/>
      <c r="H559" s="156">
        <f t="shared" si="1"/>
        <v>362243.91</v>
      </c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</row>
    <row r="560">
      <c r="A560" s="150"/>
      <c r="B560" s="151"/>
      <c r="C560" s="152"/>
      <c r="D560" s="153"/>
      <c r="E560" s="154"/>
      <c r="F560" s="85"/>
      <c r="G560" s="155"/>
      <c r="H560" s="156">
        <f t="shared" si="1"/>
        <v>362243.91</v>
      </c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</row>
    <row r="561">
      <c r="A561" s="150"/>
      <c r="B561" s="151"/>
      <c r="C561" s="152"/>
      <c r="D561" s="153"/>
      <c r="E561" s="154"/>
      <c r="F561" s="85"/>
      <c r="G561" s="155"/>
      <c r="H561" s="156">
        <f t="shared" si="1"/>
        <v>362243.91</v>
      </c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</row>
    <row r="562">
      <c r="A562" s="150"/>
      <c r="B562" s="151"/>
      <c r="C562" s="152"/>
      <c r="D562" s="153"/>
      <c r="E562" s="154"/>
      <c r="F562" s="85"/>
      <c r="G562" s="155"/>
      <c r="H562" s="156">
        <f t="shared" si="1"/>
        <v>362243.91</v>
      </c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</row>
    <row r="563">
      <c r="A563" s="150"/>
      <c r="B563" s="151"/>
      <c r="C563" s="152"/>
      <c r="D563" s="153"/>
      <c r="E563" s="154"/>
      <c r="F563" s="85"/>
      <c r="G563" s="155"/>
      <c r="H563" s="156">
        <f t="shared" si="1"/>
        <v>362243.91</v>
      </c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</row>
    <row r="564">
      <c r="A564" s="150"/>
      <c r="B564" s="151"/>
      <c r="C564" s="152"/>
      <c r="D564" s="153"/>
      <c r="E564" s="154"/>
      <c r="F564" s="85"/>
      <c r="G564" s="155"/>
      <c r="H564" s="156">
        <f t="shared" si="1"/>
        <v>362243.91</v>
      </c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</row>
    <row r="565">
      <c r="A565" s="150"/>
      <c r="B565" s="151"/>
      <c r="C565" s="152"/>
      <c r="D565" s="153"/>
      <c r="E565" s="154"/>
      <c r="F565" s="85"/>
      <c r="G565" s="155"/>
      <c r="H565" s="156">
        <f t="shared" si="1"/>
        <v>362243.91</v>
      </c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</row>
    <row r="566">
      <c r="A566" s="150"/>
      <c r="B566" s="151"/>
      <c r="C566" s="152"/>
      <c r="D566" s="153"/>
      <c r="E566" s="154"/>
      <c r="F566" s="85"/>
      <c r="G566" s="155"/>
      <c r="H566" s="156">
        <f t="shared" si="1"/>
        <v>362243.91</v>
      </c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</row>
    <row r="567">
      <c r="A567" s="150"/>
      <c r="B567" s="151"/>
      <c r="C567" s="152"/>
      <c r="D567" s="153"/>
      <c r="E567" s="154"/>
      <c r="F567" s="85"/>
      <c r="G567" s="155"/>
      <c r="H567" s="156">
        <f t="shared" si="1"/>
        <v>362243.91</v>
      </c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</row>
    <row r="568">
      <c r="A568" s="150"/>
      <c r="B568" s="151"/>
      <c r="C568" s="152"/>
      <c r="D568" s="153"/>
      <c r="E568" s="154"/>
      <c r="F568" s="85"/>
      <c r="G568" s="155"/>
      <c r="H568" s="156">
        <f t="shared" si="1"/>
        <v>362243.91</v>
      </c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</row>
    <row r="569">
      <c r="A569" s="150"/>
      <c r="B569" s="151"/>
      <c r="C569" s="152"/>
      <c r="D569" s="153"/>
      <c r="E569" s="154"/>
      <c r="F569" s="85"/>
      <c r="G569" s="155"/>
      <c r="H569" s="156">
        <f t="shared" si="1"/>
        <v>362243.91</v>
      </c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</row>
    <row r="570">
      <c r="A570" s="150"/>
      <c r="B570" s="151"/>
      <c r="C570" s="152"/>
      <c r="D570" s="153"/>
      <c r="E570" s="154"/>
      <c r="F570" s="85"/>
      <c r="G570" s="155"/>
      <c r="H570" s="156">
        <f t="shared" si="1"/>
        <v>362243.91</v>
      </c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</row>
    <row r="571">
      <c r="A571" s="150"/>
      <c r="B571" s="151"/>
      <c r="C571" s="152"/>
      <c r="D571" s="153"/>
      <c r="E571" s="154"/>
      <c r="F571" s="85"/>
      <c r="G571" s="155"/>
      <c r="H571" s="156">
        <f t="shared" si="1"/>
        <v>362243.91</v>
      </c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</row>
    <row r="572">
      <c r="A572" s="150"/>
      <c r="B572" s="151"/>
      <c r="C572" s="152"/>
      <c r="D572" s="153"/>
      <c r="E572" s="154"/>
      <c r="F572" s="85"/>
      <c r="G572" s="155"/>
      <c r="H572" s="156">
        <f t="shared" si="1"/>
        <v>362243.91</v>
      </c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</row>
    <row r="573">
      <c r="A573" s="150"/>
      <c r="B573" s="151"/>
      <c r="C573" s="152"/>
      <c r="D573" s="153"/>
      <c r="E573" s="154"/>
      <c r="F573" s="85"/>
      <c r="G573" s="155"/>
      <c r="H573" s="156">
        <f t="shared" si="1"/>
        <v>362243.91</v>
      </c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</row>
    <row r="574">
      <c r="A574" s="150"/>
      <c r="B574" s="151"/>
      <c r="C574" s="152"/>
      <c r="D574" s="153"/>
      <c r="E574" s="154"/>
      <c r="F574" s="85"/>
      <c r="G574" s="155"/>
      <c r="H574" s="156">
        <f t="shared" si="1"/>
        <v>362243.91</v>
      </c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</row>
    <row r="575">
      <c r="A575" s="150"/>
      <c r="B575" s="151"/>
      <c r="C575" s="152"/>
      <c r="D575" s="153"/>
      <c r="E575" s="154"/>
      <c r="F575" s="85"/>
      <c r="G575" s="155"/>
      <c r="H575" s="156">
        <f t="shared" si="1"/>
        <v>362243.91</v>
      </c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</row>
    <row r="576">
      <c r="A576" s="150"/>
      <c r="B576" s="151"/>
      <c r="C576" s="152"/>
      <c r="D576" s="153"/>
      <c r="E576" s="154"/>
      <c r="F576" s="85"/>
      <c r="G576" s="155"/>
      <c r="H576" s="156">
        <f t="shared" si="1"/>
        <v>362243.91</v>
      </c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</row>
    <row r="577">
      <c r="A577" s="150"/>
      <c r="B577" s="151"/>
      <c r="C577" s="152"/>
      <c r="D577" s="153"/>
      <c r="E577" s="154"/>
      <c r="F577" s="85"/>
      <c r="G577" s="155"/>
      <c r="H577" s="156">
        <f t="shared" si="1"/>
        <v>362243.91</v>
      </c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</row>
    <row r="578">
      <c r="A578" s="150"/>
      <c r="B578" s="151"/>
      <c r="C578" s="152"/>
      <c r="D578" s="153"/>
      <c r="E578" s="154"/>
      <c r="F578" s="85"/>
      <c r="G578" s="155"/>
      <c r="H578" s="156">
        <f t="shared" si="1"/>
        <v>362243.91</v>
      </c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</row>
    <row r="579">
      <c r="A579" s="150"/>
      <c r="B579" s="151"/>
      <c r="C579" s="152"/>
      <c r="D579" s="153"/>
      <c r="E579" s="154"/>
      <c r="F579" s="85"/>
      <c r="G579" s="155"/>
      <c r="H579" s="156">
        <f t="shared" si="1"/>
        <v>362243.91</v>
      </c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</row>
    <row r="580">
      <c r="A580" s="150"/>
      <c r="B580" s="151"/>
      <c r="C580" s="152"/>
      <c r="D580" s="153"/>
      <c r="E580" s="154"/>
      <c r="F580" s="85"/>
      <c r="G580" s="155"/>
      <c r="H580" s="156">
        <f t="shared" si="1"/>
        <v>362243.91</v>
      </c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</row>
    <row r="581">
      <c r="A581" s="150"/>
      <c r="B581" s="151"/>
      <c r="C581" s="152"/>
      <c r="D581" s="153"/>
      <c r="E581" s="154"/>
      <c r="F581" s="85"/>
      <c r="G581" s="155"/>
      <c r="H581" s="156">
        <f t="shared" si="1"/>
        <v>362243.91</v>
      </c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</row>
    <row r="582">
      <c r="A582" s="150"/>
      <c r="B582" s="151"/>
      <c r="C582" s="152"/>
      <c r="D582" s="153"/>
      <c r="E582" s="154"/>
      <c r="F582" s="85"/>
      <c r="G582" s="155"/>
      <c r="H582" s="156">
        <f t="shared" si="1"/>
        <v>362243.91</v>
      </c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</row>
    <row r="583">
      <c r="A583" s="150"/>
      <c r="B583" s="151"/>
      <c r="C583" s="152"/>
      <c r="D583" s="153"/>
      <c r="E583" s="154"/>
      <c r="F583" s="85"/>
      <c r="G583" s="155"/>
      <c r="H583" s="156">
        <f t="shared" si="1"/>
        <v>362243.91</v>
      </c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</row>
    <row r="584">
      <c r="A584" s="150"/>
      <c r="B584" s="151"/>
      <c r="C584" s="152"/>
      <c r="D584" s="153"/>
      <c r="E584" s="154"/>
      <c r="F584" s="85"/>
      <c r="G584" s="155"/>
      <c r="H584" s="156">
        <f t="shared" si="1"/>
        <v>362243.91</v>
      </c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</row>
    <row r="585">
      <c r="A585" s="150"/>
      <c r="B585" s="151"/>
      <c r="C585" s="152"/>
      <c r="D585" s="153"/>
      <c r="E585" s="154"/>
      <c r="F585" s="85"/>
      <c r="G585" s="155"/>
      <c r="H585" s="156">
        <f t="shared" si="1"/>
        <v>362243.91</v>
      </c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</row>
    <row r="586">
      <c r="A586" s="150"/>
      <c r="B586" s="151"/>
      <c r="C586" s="152"/>
      <c r="D586" s="153"/>
      <c r="E586" s="154"/>
      <c r="F586" s="85"/>
      <c r="G586" s="155"/>
      <c r="H586" s="156">
        <f t="shared" si="1"/>
        <v>362243.91</v>
      </c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</row>
    <row r="587">
      <c r="A587" s="150"/>
      <c r="B587" s="151"/>
      <c r="C587" s="152"/>
      <c r="D587" s="153"/>
      <c r="E587" s="154"/>
      <c r="F587" s="85"/>
      <c r="G587" s="155"/>
      <c r="H587" s="156">
        <f t="shared" si="1"/>
        <v>362243.91</v>
      </c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</row>
    <row r="588">
      <c r="A588" s="150"/>
      <c r="B588" s="151"/>
      <c r="C588" s="152"/>
      <c r="D588" s="153"/>
      <c r="E588" s="154"/>
      <c r="F588" s="85"/>
      <c r="G588" s="155"/>
      <c r="H588" s="156">
        <f t="shared" si="1"/>
        <v>362243.91</v>
      </c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</row>
    <row r="589">
      <c r="A589" s="150"/>
      <c r="B589" s="151"/>
      <c r="C589" s="152"/>
      <c r="D589" s="153"/>
      <c r="E589" s="154"/>
      <c r="F589" s="85"/>
      <c r="G589" s="155"/>
      <c r="H589" s="156">
        <f t="shared" si="1"/>
        <v>362243.91</v>
      </c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</row>
    <row r="590">
      <c r="A590" s="150"/>
      <c r="B590" s="151"/>
      <c r="C590" s="152"/>
      <c r="D590" s="153"/>
      <c r="E590" s="154"/>
      <c r="F590" s="85"/>
      <c r="G590" s="155"/>
      <c r="H590" s="156">
        <f t="shared" si="1"/>
        <v>362243.91</v>
      </c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</row>
    <row r="591">
      <c r="A591" s="150"/>
      <c r="B591" s="151"/>
      <c r="C591" s="152"/>
      <c r="D591" s="153"/>
      <c r="E591" s="154"/>
      <c r="F591" s="85"/>
      <c r="G591" s="155"/>
      <c r="H591" s="156">
        <f t="shared" si="1"/>
        <v>362243.91</v>
      </c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</row>
    <row r="592">
      <c r="A592" s="150"/>
      <c r="B592" s="151"/>
      <c r="C592" s="152"/>
      <c r="D592" s="153"/>
      <c r="E592" s="154"/>
      <c r="F592" s="85"/>
      <c r="G592" s="155"/>
      <c r="H592" s="156">
        <f t="shared" si="1"/>
        <v>362243.91</v>
      </c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</row>
    <row r="593">
      <c r="A593" s="150"/>
      <c r="B593" s="151"/>
      <c r="C593" s="152"/>
      <c r="D593" s="153"/>
      <c r="E593" s="154"/>
      <c r="F593" s="85"/>
      <c r="G593" s="155"/>
      <c r="H593" s="156">
        <f t="shared" si="1"/>
        <v>362243.91</v>
      </c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</row>
    <row r="594">
      <c r="A594" s="150"/>
      <c r="B594" s="151"/>
      <c r="C594" s="152"/>
      <c r="D594" s="153"/>
      <c r="E594" s="154"/>
      <c r="F594" s="85"/>
      <c r="G594" s="155"/>
      <c r="H594" s="156">
        <f t="shared" si="1"/>
        <v>362243.91</v>
      </c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</row>
    <row r="595">
      <c r="A595" s="150"/>
      <c r="B595" s="151"/>
      <c r="C595" s="152"/>
      <c r="D595" s="153"/>
      <c r="E595" s="154"/>
      <c r="F595" s="85"/>
      <c r="G595" s="155"/>
      <c r="H595" s="156">
        <f t="shared" si="1"/>
        <v>362243.91</v>
      </c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</row>
    <row r="596">
      <c r="A596" s="150"/>
      <c r="B596" s="151"/>
      <c r="C596" s="152"/>
      <c r="D596" s="153"/>
      <c r="E596" s="154"/>
      <c r="F596" s="85"/>
      <c r="G596" s="155"/>
      <c r="H596" s="156">
        <f t="shared" si="1"/>
        <v>362243.91</v>
      </c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</row>
    <row r="597">
      <c r="A597" s="150"/>
      <c r="B597" s="151"/>
      <c r="C597" s="152"/>
      <c r="D597" s="153"/>
      <c r="E597" s="154"/>
      <c r="F597" s="85"/>
      <c r="G597" s="155"/>
      <c r="H597" s="156">
        <f t="shared" si="1"/>
        <v>362243.91</v>
      </c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</row>
    <row r="598">
      <c r="A598" s="150"/>
      <c r="B598" s="151"/>
      <c r="C598" s="152"/>
      <c r="D598" s="153"/>
      <c r="E598" s="154"/>
      <c r="F598" s="85"/>
      <c r="G598" s="155"/>
      <c r="H598" s="156">
        <f t="shared" si="1"/>
        <v>362243.91</v>
      </c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</row>
    <row r="599">
      <c r="A599" s="150"/>
      <c r="B599" s="151"/>
      <c r="C599" s="152"/>
      <c r="D599" s="153"/>
      <c r="E599" s="154"/>
      <c r="F599" s="85"/>
      <c r="G599" s="155"/>
      <c r="H599" s="156">
        <f t="shared" si="1"/>
        <v>362243.91</v>
      </c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</row>
    <row r="600">
      <c r="A600" s="150"/>
      <c r="B600" s="151"/>
      <c r="C600" s="152"/>
      <c r="D600" s="153"/>
      <c r="E600" s="154"/>
      <c r="F600" s="85"/>
      <c r="G600" s="155"/>
      <c r="H600" s="156">
        <f t="shared" si="1"/>
        <v>362243.91</v>
      </c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</row>
    <row r="601">
      <c r="A601" s="150"/>
      <c r="B601" s="151"/>
      <c r="C601" s="152"/>
      <c r="D601" s="153"/>
      <c r="E601" s="154"/>
      <c r="F601" s="85"/>
      <c r="G601" s="155"/>
      <c r="H601" s="156">
        <f t="shared" si="1"/>
        <v>362243.91</v>
      </c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</row>
    <row r="602">
      <c r="A602" s="150"/>
      <c r="B602" s="151"/>
      <c r="C602" s="152"/>
      <c r="D602" s="153"/>
      <c r="E602" s="154"/>
      <c r="F602" s="85"/>
      <c r="G602" s="155"/>
      <c r="H602" s="156">
        <f t="shared" si="1"/>
        <v>362243.91</v>
      </c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</row>
    <row r="603">
      <c r="A603" s="150"/>
      <c r="B603" s="151"/>
      <c r="C603" s="152"/>
      <c r="D603" s="153"/>
      <c r="E603" s="154"/>
      <c r="F603" s="85"/>
      <c r="G603" s="155"/>
      <c r="H603" s="156">
        <f t="shared" si="1"/>
        <v>362243.91</v>
      </c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</row>
    <row r="604">
      <c r="A604" s="150"/>
      <c r="B604" s="151"/>
      <c r="C604" s="152"/>
      <c r="D604" s="153"/>
      <c r="E604" s="154"/>
      <c r="F604" s="85"/>
      <c r="G604" s="155"/>
      <c r="H604" s="156">
        <f t="shared" si="1"/>
        <v>362243.91</v>
      </c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</row>
    <row r="605">
      <c r="A605" s="150"/>
      <c r="B605" s="151"/>
      <c r="C605" s="152"/>
      <c r="D605" s="153"/>
      <c r="E605" s="154"/>
      <c r="F605" s="85"/>
      <c r="G605" s="155"/>
      <c r="H605" s="156">
        <f t="shared" si="1"/>
        <v>362243.91</v>
      </c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</row>
    <row r="606">
      <c r="A606" s="150"/>
      <c r="B606" s="151"/>
      <c r="C606" s="152"/>
      <c r="D606" s="153"/>
      <c r="E606" s="154"/>
      <c r="F606" s="85"/>
      <c r="G606" s="155"/>
      <c r="H606" s="156">
        <f t="shared" si="1"/>
        <v>362243.91</v>
      </c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</row>
    <row r="607">
      <c r="A607" s="150"/>
      <c r="B607" s="151"/>
      <c r="C607" s="152"/>
      <c r="D607" s="153"/>
      <c r="E607" s="154"/>
      <c r="F607" s="85"/>
      <c r="G607" s="155"/>
      <c r="H607" s="156">
        <f t="shared" si="1"/>
        <v>362243.91</v>
      </c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</row>
    <row r="608">
      <c r="A608" s="150"/>
      <c r="B608" s="151"/>
      <c r="C608" s="152"/>
      <c r="D608" s="153"/>
      <c r="E608" s="154"/>
      <c r="F608" s="85"/>
      <c r="G608" s="155"/>
      <c r="H608" s="156">
        <f t="shared" si="1"/>
        <v>362243.91</v>
      </c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</row>
    <row r="609">
      <c r="A609" s="150"/>
      <c r="B609" s="151"/>
      <c r="C609" s="152"/>
      <c r="D609" s="153"/>
      <c r="E609" s="154"/>
      <c r="F609" s="85"/>
      <c r="G609" s="155"/>
      <c r="H609" s="156">
        <f t="shared" si="1"/>
        <v>362243.91</v>
      </c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</row>
    <row r="610">
      <c r="A610" s="150"/>
      <c r="B610" s="151"/>
      <c r="C610" s="152"/>
      <c r="D610" s="153"/>
      <c r="E610" s="154"/>
      <c r="F610" s="85"/>
      <c r="G610" s="155"/>
      <c r="H610" s="156">
        <f t="shared" si="1"/>
        <v>362243.91</v>
      </c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</row>
    <row r="611">
      <c r="A611" s="150"/>
      <c r="B611" s="151"/>
      <c r="C611" s="152"/>
      <c r="D611" s="153"/>
      <c r="E611" s="154"/>
      <c r="F611" s="85"/>
      <c r="G611" s="155"/>
      <c r="H611" s="156">
        <f t="shared" si="1"/>
        <v>362243.91</v>
      </c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</row>
    <row r="612">
      <c r="A612" s="150"/>
      <c r="B612" s="151"/>
      <c r="C612" s="152"/>
      <c r="D612" s="153"/>
      <c r="E612" s="154"/>
      <c r="F612" s="85"/>
      <c r="G612" s="155"/>
      <c r="H612" s="156">
        <f t="shared" si="1"/>
        <v>362243.91</v>
      </c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</row>
    <row r="613">
      <c r="A613" s="150"/>
      <c r="B613" s="151"/>
      <c r="C613" s="152"/>
      <c r="D613" s="153"/>
      <c r="E613" s="154"/>
      <c r="F613" s="85"/>
      <c r="G613" s="155"/>
      <c r="H613" s="156">
        <f t="shared" si="1"/>
        <v>362243.91</v>
      </c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</row>
    <row r="614">
      <c r="A614" s="150"/>
      <c r="B614" s="151"/>
      <c r="C614" s="152"/>
      <c r="D614" s="153"/>
      <c r="E614" s="154"/>
      <c r="F614" s="85"/>
      <c r="G614" s="155"/>
      <c r="H614" s="156">
        <f t="shared" si="1"/>
        <v>362243.91</v>
      </c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</row>
    <row r="615">
      <c r="A615" s="150"/>
      <c r="B615" s="151"/>
      <c r="C615" s="152"/>
      <c r="D615" s="153"/>
      <c r="E615" s="154"/>
      <c r="F615" s="85"/>
      <c r="G615" s="155"/>
      <c r="H615" s="156">
        <f t="shared" si="1"/>
        <v>362243.91</v>
      </c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</row>
    <row r="616">
      <c r="A616" s="150"/>
      <c r="B616" s="151"/>
      <c r="C616" s="152"/>
      <c r="D616" s="153"/>
      <c r="E616" s="154"/>
      <c r="F616" s="85"/>
      <c r="G616" s="155"/>
      <c r="H616" s="156">
        <f t="shared" si="1"/>
        <v>362243.91</v>
      </c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</row>
    <row r="617">
      <c r="A617" s="150"/>
      <c r="B617" s="151"/>
      <c r="C617" s="152"/>
      <c r="D617" s="153"/>
      <c r="E617" s="154"/>
      <c r="F617" s="85"/>
      <c r="G617" s="155"/>
      <c r="H617" s="156">
        <f t="shared" si="1"/>
        <v>362243.91</v>
      </c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</row>
    <row r="618">
      <c r="A618" s="150"/>
      <c r="B618" s="151"/>
      <c r="C618" s="152"/>
      <c r="D618" s="153"/>
      <c r="E618" s="154"/>
      <c r="F618" s="85"/>
      <c r="G618" s="155"/>
      <c r="H618" s="156">
        <f t="shared" si="1"/>
        <v>362243.91</v>
      </c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</row>
    <row r="619">
      <c r="A619" s="150"/>
      <c r="B619" s="151"/>
      <c r="C619" s="152"/>
      <c r="D619" s="153"/>
      <c r="E619" s="154"/>
      <c r="F619" s="85"/>
      <c r="G619" s="155"/>
      <c r="H619" s="156">
        <f t="shared" si="1"/>
        <v>362243.91</v>
      </c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</row>
    <row r="620">
      <c r="A620" s="150"/>
      <c r="B620" s="151"/>
      <c r="C620" s="152"/>
      <c r="D620" s="153"/>
      <c r="E620" s="154"/>
      <c r="F620" s="85"/>
      <c r="G620" s="155"/>
      <c r="H620" s="156">
        <f t="shared" si="1"/>
        <v>362243.91</v>
      </c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</row>
    <row r="621">
      <c r="A621" s="150"/>
      <c r="B621" s="151"/>
      <c r="C621" s="152"/>
      <c r="D621" s="153"/>
      <c r="E621" s="154"/>
      <c r="F621" s="85"/>
      <c r="G621" s="155"/>
      <c r="H621" s="156">
        <f t="shared" si="1"/>
        <v>362243.91</v>
      </c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</row>
    <row r="622">
      <c r="A622" s="150"/>
      <c r="B622" s="151"/>
      <c r="C622" s="152"/>
      <c r="D622" s="153"/>
      <c r="E622" s="154"/>
      <c r="F622" s="85"/>
      <c r="G622" s="155"/>
      <c r="H622" s="156">
        <f t="shared" si="1"/>
        <v>362243.91</v>
      </c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</row>
    <row r="623">
      <c r="A623" s="150"/>
      <c r="B623" s="151"/>
      <c r="C623" s="152"/>
      <c r="D623" s="153"/>
      <c r="E623" s="154"/>
      <c r="F623" s="85"/>
      <c r="G623" s="155"/>
      <c r="H623" s="156">
        <f t="shared" si="1"/>
        <v>362243.91</v>
      </c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</row>
    <row r="624">
      <c r="A624" s="150"/>
      <c r="B624" s="151"/>
      <c r="C624" s="152"/>
      <c r="D624" s="153"/>
      <c r="E624" s="154"/>
      <c r="F624" s="85"/>
      <c r="G624" s="155"/>
      <c r="H624" s="156">
        <f t="shared" si="1"/>
        <v>362243.91</v>
      </c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</row>
    <row r="625">
      <c r="A625" s="150"/>
      <c r="B625" s="151"/>
      <c r="C625" s="152"/>
      <c r="D625" s="153"/>
      <c r="E625" s="154"/>
      <c r="F625" s="85"/>
      <c r="G625" s="155"/>
      <c r="H625" s="156">
        <f t="shared" si="1"/>
        <v>362243.91</v>
      </c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</row>
    <row r="626">
      <c r="A626" s="150"/>
      <c r="B626" s="151"/>
      <c r="C626" s="152"/>
      <c r="D626" s="153"/>
      <c r="E626" s="154"/>
      <c r="F626" s="85"/>
      <c r="G626" s="155"/>
      <c r="H626" s="156">
        <f t="shared" si="1"/>
        <v>362243.91</v>
      </c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</row>
    <row r="627">
      <c r="A627" s="150"/>
      <c r="B627" s="151"/>
      <c r="C627" s="152"/>
      <c r="D627" s="153"/>
      <c r="E627" s="154"/>
      <c r="F627" s="85"/>
      <c r="G627" s="155"/>
      <c r="H627" s="156">
        <f t="shared" si="1"/>
        <v>362243.91</v>
      </c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</row>
    <row r="628">
      <c r="A628" s="150"/>
      <c r="B628" s="151"/>
      <c r="C628" s="152"/>
      <c r="D628" s="153"/>
      <c r="E628" s="154"/>
      <c r="F628" s="85"/>
      <c r="G628" s="155"/>
      <c r="H628" s="156">
        <f t="shared" si="1"/>
        <v>362243.91</v>
      </c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</row>
    <row r="629">
      <c r="A629" s="150"/>
      <c r="B629" s="151"/>
      <c r="C629" s="152"/>
      <c r="D629" s="153"/>
      <c r="E629" s="154"/>
      <c r="F629" s="85"/>
      <c r="G629" s="155"/>
      <c r="H629" s="156">
        <f t="shared" si="1"/>
        <v>362243.91</v>
      </c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</row>
    <row r="630">
      <c r="A630" s="150"/>
      <c r="B630" s="151"/>
      <c r="C630" s="152"/>
      <c r="D630" s="153"/>
      <c r="E630" s="154"/>
      <c r="F630" s="85"/>
      <c r="G630" s="155"/>
      <c r="H630" s="156">
        <f t="shared" si="1"/>
        <v>362243.91</v>
      </c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</row>
    <row r="631">
      <c r="A631" s="150"/>
      <c r="B631" s="151"/>
      <c r="C631" s="152"/>
      <c r="D631" s="153"/>
      <c r="E631" s="154"/>
      <c r="F631" s="85"/>
      <c r="G631" s="155"/>
      <c r="H631" s="156">
        <f t="shared" si="1"/>
        <v>362243.91</v>
      </c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</row>
    <row r="632">
      <c r="A632" s="150"/>
      <c r="B632" s="151"/>
      <c r="C632" s="152"/>
      <c r="D632" s="153"/>
      <c r="E632" s="154"/>
      <c r="F632" s="85"/>
      <c r="G632" s="155"/>
      <c r="H632" s="156">
        <f t="shared" si="1"/>
        <v>362243.91</v>
      </c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</row>
    <row r="633">
      <c r="A633" s="150"/>
      <c r="B633" s="151"/>
      <c r="C633" s="152"/>
      <c r="D633" s="153"/>
      <c r="E633" s="154"/>
      <c r="F633" s="85"/>
      <c r="G633" s="155"/>
      <c r="H633" s="156">
        <f t="shared" si="1"/>
        <v>362243.91</v>
      </c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</row>
    <row r="634">
      <c r="A634" s="150"/>
      <c r="B634" s="151"/>
      <c r="C634" s="152"/>
      <c r="D634" s="153"/>
      <c r="E634" s="154"/>
      <c r="F634" s="85"/>
      <c r="G634" s="155"/>
      <c r="H634" s="156">
        <f t="shared" si="1"/>
        <v>362243.91</v>
      </c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</row>
    <row r="635">
      <c r="A635" s="150"/>
      <c r="B635" s="151"/>
      <c r="C635" s="152"/>
      <c r="D635" s="153"/>
      <c r="E635" s="154"/>
      <c r="F635" s="85"/>
      <c r="G635" s="155"/>
      <c r="H635" s="156">
        <f t="shared" si="1"/>
        <v>362243.91</v>
      </c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</row>
    <row r="636">
      <c r="A636" s="150"/>
      <c r="B636" s="151"/>
      <c r="C636" s="152"/>
      <c r="D636" s="153"/>
      <c r="E636" s="154"/>
      <c r="F636" s="85"/>
      <c r="G636" s="155"/>
      <c r="H636" s="156">
        <f t="shared" si="1"/>
        <v>362243.91</v>
      </c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</row>
    <row r="637">
      <c r="A637" s="150"/>
      <c r="B637" s="151"/>
      <c r="C637" s="152"/>
      <c r="D637" s="153"/>
      <c r="E637" s="154"/>
      <c r="F637" s="85"/>
      <c r="G637" s="155"/>
      <c r="H637" s="156">
        <f t="shared" si="1"/>
        <v>362243.91</v>
      </c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</row>
    <row r="638">
      <c r="A638" s="150"/>
      <c r="B638" s="151"/>
      <c r="C638" s="152"/>
      <c r="D638" s="153"/>
      <c r="E638" s="154"/>
      <c r="F638" s="85"/>
      <c r="G638" s="155"/>
      <c r="H638" s="156">
        <f t="shared" si="1"/>
        <v>362243.91</v>
      </c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</row>
    <row r="639">
      <c r="A639" s="150"/>
      <c r="B639" s="151"/>
      <c r="C639" s="152"/>
      <c r="D639" s="153"/>
      <c r="E639" s="154"/>
      <c r="F639" s="85"/>
      <c r="G639" s="155"/>
      <c r="H639" s="156">
        <f t="shared" si="1"/>
        <v>362243.91</v>
      </c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</row>
    <row r="640">
      <c r="A640" s="150"/>
      <c r="B640" s="151"/>
      <c r="C640" s="152"/>
      <c r="D640" s="153"/>
      <c r="E640" s="154"/>
      <c r="F640" s="85"/>
      <c r="G640" s="155"/>
      <c r="H640" s="156">
        <f t="shared" si="1"/>
        <v>362243.91</v>
      </c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</row>
    <row r="641">
      <c r="A641" s="150"/>
      <c r="B641" s="151"/>
      <c r="C641" s="152"/>
      <c r="D641" s="153"/>
      <c r="E641" s="154"/>
      <c r="F641" s="85"/>
      <c r="G641" s="155"/>
      <c r="H641" s="156">
        <f t="shared" si="1"/>
        <v>362243.91</v>
      </c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</row>
    <row r="642">
      <c r="A642" s="150"/>
      <c r="B642" s="151"/>
      <c r="C642" s="152"/>
      <c r="D642" s="153"/>
      <c r="E642" s="154"/>
      <c r="F642" s="85"/>
      <c r="G642" s="155"/>
      <c r="H642" s="156">
        <f t="shared" si="1"/>
        <v>362243.91</v>
      </c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</row>
    <row r="643">
      <c r="A643" s="150"/>
      <c r="B643" s="151"/>
      <c r="C643" s="152"/>
      <c r="D643" s="153"/>
      <c r="E643" s="154"/>
      <c r="F643" s="85"/>
      <c r="G643" s="155"/>
      <c r="H643" s="156">
        <f t="shared" si="1"/>
        <v>362243.91</v>
      </c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</row>
    <row r="644">
      <c r="A644" s="150"/>
      <c r="B644" s="151"/>
      <c r="C644" s="152"/>
      <c r="D644" s="153"/>
      <c r="E644" s="154"/>
      <c r="F644" s="85"/>
      <c r="G644" s="155"/>
      <c r="H644" s="156">
        <f t="shared" si="1"/>
        <v>362243.91</v>
      </c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</row>
    <row r="645">
      <c r="A645" s="150"/>
      <c r="B645" s="151"/>
      <c r="C645" s="152"/>
      <c r="D645" s="153"/>
      <c r="E645" s="154"/>
      <c r="F645" s="85"/>
      <c r="G645" s="155"/>
      <c r="H645" s="156">
        <f t="shared" si="1"/>
        <v>362243.91</v>
      </c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</row>
    <row r="646">
      <c r="A646" s="150"/>
      <c r="B646" s="151"/>
      <c r="C646" s="152"/>
      <c r="D646" s="153"/>
      <c r="E646" s="154"/>
      <c r="F646" s="85"/>
      <c r="G646" s="155"/>
      <c r="H646" s="156">
        <f t="shared" si="1"/>
        <v>362243.91</v>
      </c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</row>
    <row r="647">
      <c r="A647" s="150"/>
      <c r="B647" s="151"/>
      <c r="C647" s="152"/>
      <c r="D647" s="153"/>
      <c r="E647" s="154"/>
      <c r="F647" s="85"/>
      <c r="G647" s="155"/>
      <c r="H647" s="156">
        <f t="shared" si="1"/>
        <v>362243.91</v>
      </c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</row>
    <row r="648">
      <c r="A648" s="150"/>
      <c r="B648" s="151"/>
      <c r="C648" s="152"/>
      <c r="D648" s="153"/>
      <c r="E648" s="154"/>
      <c r="F648" s="85"/>
      <c r="G648" s="155"/>
      <c r="H648" s="156">
        <f t="shared" si="1"/>
        <v>362243.91</v>
      </c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</row>
    <row r="649">
      <c r="A649" s="150"/>
      <c r="B649" s="151"/>
      <c r="C649" s="152"/>
      <c r="D649" s="153"/>
      <c r="E649" s="154"/>
      <c r="F649" s="85"/>
      <c r="G649" s="155"/>
      <c r="H649" s="156">
        <f t="shared" si="1"/>
        <v>362243.91</v>
      </c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</row>
    <row r="650">
      <c r="A650" s="150"/>
      <c r="B650" s="151"/>
      <c r="C650" s="152"/>
      <c r="D650" s="153"/>
      <c r="E650" s="154"/>
      <c r="F650" s="85"/>
      <c r="G650" s="155"/>
      <c r="H650" s="156">
        <f t="shared" si="1"/>
        <v>362243.91</v>
      </c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</row>
    <row r="651">
      <c r="A651" s="150"/>
      <c r="B651" s="151"/>
      <c r="C651" s="152"/>
      <c r="D651" s="153"/>
      <c r="E651" s="154"/>
      <c r="F651" s="85"/>
      <c r="G651" s="155"/>
      <c r="H651" s="156">
        <f t="shared" si="1"/>
        <v>362243.91</v>
      </c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</row>
    <row r="652">
      <c r="A652" s="150"/>
      <c r="B652" s="151"/>
      <c r="C652" s="152"/>
      <c r="D652" s="153"/>
      <c r="E652" s="154"/>
      <c r="F652" s="85"/>
      <c r="G652" s="155"/>
      <c r="H652" s="156">
        <f t="shared" si="1"/>
        <v>362243.91</v>
      </c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</row>
    <row r="653">
      <c r="A653" s="150"/>
      <c r="B653" s="151"/>
      <c r="C653" s="152"/>
      <c r="D653" s="153"/>
      <c r="E653" s="154"/>
      <c r="F653" s="85"/>
      <c r="G653" s="155"/>
      <c r="H653" s="156">
        <f t="shared" si="1"/>
        <v>362243.91</v>
      </c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</row>
    <row r="654">
      <c r="A654" s="150"/>
      <c r="B654" s="151"/>
      <c r="C654" s="152"/>
      <c r="D654" s="153"/>
      <c r="E654" s="154"/>
      <c r="F654" s="85"/>
      <c r="G654" s="155"/>
      <c r="H654" s="156">
        <f t="shared" si="1"/>
        <v>362243.91</v>
      </c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</row>
    <row r="655">
      <c r="A655" s="150"/>
      <c r="B655" s="151"/>
      <c r="C655" s="152"/>
      <c r="D655" s="153"/>
      <c r="E655" s="154"/>
      <c r="F655" s="85"/>
      <c r="G655" s="155"/>
      <c r="H655" s="156">
        <f t="shared" si="1"/>
        <v>362243.91</v>
      </c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</row>
    <row r="656">
      <c r="A656" s="150"/>
      <c r="B656" s="151"/>
      <c r="C656" s="152"/>
      <c r="D656" s="153"/>
      <c r="E656" s="154"/>
      <c r="F656" s="85"/>
      <c r="G656" s="155"/>
      <c r="H656" s="156">
        <f t="shared" si="1"/>
        <v>362243.91</v>
      </c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</row>
    <row r="657">
      <c r="A657" s="150"/>
      <c r="B657" s="151"/>
      <c r="C657" s="152"/>
      <c r="D657" s="153"/>
      <c r="E657" s="154"/>
      <c r="F657" s="85"/>
      <c r="G657" s="155"/>
      <c r="H657" s="156">
        <f t="shared" si="1"/>
        <v>362243.91</v>
      </c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</row>
    <row r="658">
      <c r="A658" s="150"/>
      <c r="B658" s="151"/>
      <c r="C658" s="152"/>
      <c r="D658" s="153"/>
      <c r="E658" s="154"/>
      <c r="F658" s="85"/>
      <c r="G658" s="155"/>
      <c r="H658" s="156">
        <f t="shared" si="1"/>
        <v>362243.91</v>
      </c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</row>
    <row r="659">
      <c r="A659" s="150"/>
      <c r="B659" s="151"/>
      <c r="C659" s="152"/>
      <c r="D659" s="153"/>
      <c r="E659" s="154"/>
      <c r="F659" s="85"/>
      <c r="G659" s="155"/>
      <c r="H659" s="156">
        <f t="shared" si="1"/>
        <v>362243.91</v>
      </c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</row>
    <row r="660">
      <c r="A660" s="150"/>
      <c r="B660" s="151"/>
      <c r="C660" s="152"/>
      <c r="D660" s="153"/>
      <c r="E660" s="154"/>
      <c r="F660" s="85"/>
      <c r="G660" s="155"/>
      <c r="H660" s="156">
        <f t="shared" si="1"/>
        <v>362243.91</v>
      </c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</row>
    <row r="661">
      <c r="A661" s="150"/>
      <c r="B661" s="151"/>
      <c r="C661" s="152"/>
      <c r="D661" s="153"/>
      <c r="E661" s="154"/>
      <c r="F661" s="85"/>
      <c r="G661" s="155"/>
      <c r="H661" s="156">
        <f t="shared" si="1"/>
        <v>362243.91</v>
      </c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</row>
    <row r="662">
      <c r="A662" s="150"/>
      <c r="B662" s="151"/>
      <c r="C662" s="152"/>
      <c r="D662" s="153"/>
      <c r="E662" s="154"/>
      <c r="F662" s="85"/>
      <c r="G662" s="155"/>
      <c r="H662" s="156">
        <f t="shared" si="1"/>
        <v>362243.91</v>
      </c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</row>
    <row r="663">
      <c r="A663" s="150"/>
      <c r="B663" s="151"/>
      <c r="C663" s="152"/>
      <c r="D663" s="153"/>
      <c r="E663" s="154"/>
      <c r="F663" s="85"/>
      <c r="G663" s="155"/>
      <c r="H663" s="156">
        <f t="shared" si="1"/>
        <v>362243.91</v>
      </c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</row>
    <row r="664">
      <c r="A664" s="150"/>
      <c r="B664" s="151"/>
      <c r="C664" s="152"/>
      <c r="D664" s="153"/>
      <c r="E664" s="154"/>
      <c r="F664" s="85"/>
      <c r="G664" s="155"/>
      <c r="H664" s="156">
        <f t="shared" si="1"/>
        <v>362243.91</v>
      </c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</row>
    <row r="665">
      <c r="A665" s="150"/>
      <c r="B665" s="151"/>
      <c r="C665" s="152"/>
      <c r="D665" s="153"/>
      <c r="E665" s="154"/>
      <c r="F665" s="85"/>
      <c r="G665" s="155"/>
      <c r="H665" s="156">
        <f t="shared" si="1"/>
        <v>362243.91</v>
      </c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</row>
    <row r="666">
      <c r="A666" s="150"/>
      <c r="B666" s="151"/>
      <c r="C666" s="152"/>
      <c r="D666" s="153"/>
      <c r="E666" s="154"/>
      <c r="F666" s="85"/>
      <c r="G666" s="155"/>
      <c r="H666" s="156">
        <f t="shared" si="1"/>
        <v>362243.91</v>
      </c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</row>
    <row r="667">
      <c r="A667" s="150"/>
      <c r="B667" s="151"/>
      <c r="C667" s="152"/>
      <c r="D667" s="153"/>
      <c r="E667" s="154"/>
      <c r="F667" s="85"/>
      <c r="G667" s="155"/>
      <c r="H667" s="156">
        <f t="shared" si="1"/>
        <v>362243.91</v>
      </c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</row>
    <row r="668">
      <c r="A668" s="150"/>
      <c r="B668" s="151"/>
      <c r="C668" s="152"/>
      <c r="D668" s="153"/>
      <c r="E668" s="154"/>
      <c r="F668" s="85"/>
      <c r="G668" s="155"/>
      <c r="H668" s="156">
        <f t="shared" si="1"/>
        <v>362243.91</v>
      </c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</row>
    <row r="669">
      <c r="A669" s="150"/>
      <c r="B669" s="151"/>
      <c r="C669" s="152"/>
      <c r="D669" s="153"/>
      <c r="E669" s="154"/>
      <c r="F669" s="85"/>
      <c r="G669" s="155"/>
      <c r="H669" s="156">
        <f t="shared" si="1"/>
        <v>362243.91</v>
      </c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</row>
    <row r="670">
      <c r="A670" s="150"/>
      <c r="B670" s="151"/>
      <c r="C670" s="152"/>
      <c r="D670" s="153"/>
      <c r="E670" s="154"/>
      <c r="F670" s="85"/>
      <c r="G670" s="155"/>
      <c r="H670" s="156">
        <f t="shared" si="1"/>
        <v>362243.91</v>
      </c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</row>
    <row r="671">
      <c r="A671" s="150"/>
      <c r="B671" s="151"/>
      <c r="C671" s="152"/>
      <c r="D671" s="153"/>
      <c r="E671" s="154"/>
      <c r="F671" s="85"/>
      <c r="G671" s="155"/>
      <c r="H671" s="156">
        <f t="shared" si="1"/>
        <v>362243.91</v>
      </c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</row>
    <row r="672">
      <c r="A672" s="150"/>
      <c r="B672" s="151"/>
      <c r="C672" s="152"/>
      <c r="D672" s="153"/>
      <c r="E672" s="154"/>
      <c r="F672" s="85"/>
      <c r="G672" s="155"/>
      <c r="H672" s="156">
        <f t="shared" si="1"/>
        <v>362243.91</v>
      </c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</row>
    <row r="673">
      <c r="A673" s="150"/>
      <c r="B673" s="151"/>
      <c r="C673" s="152"/>
      <c r="D673" s="153"/>
      <c r="E673" s="154"/>
      <c r="F673" s="85"/>
      <c r="G673" s="155"/>
      <c r="H673" s="156">
        <f t="shared" si="1"/>
        <v>362243.91</v>
      </c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</row>
    <row r="674">
      <c r="A674" s="150"/>
      <c r="B674" s="151"/>
      <c r="C674" s="152"/>
      <c r="D674" s="153"/>
      <c r="E674" s="154"/>
      <c r="F674" s="85"/>
      <c r="G674" s="155"/>
      <c r="H674" s="156">
        <f t="shared" si="1"/>
        <v>362243.91</v>
      </c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</row>
    <row r="675">
      <c r="A675" s="150"/>
      <c r="B675" s="151"/>
      <c r="C675" s="152"/>
      <c r="D675" s="153"/>
      <c r="E675" s="154"/>
      <c r="F675" s="85"/>
      <c r="G675" s="155"/>
      <c r="H675" s="156">
        <f t="shared" si="1"/>
        <v>362243.91</v>
      </c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</row>
    <row r="676">
      <c r="A676" s="150"/>
      <c r="B676" s="151"/>
      <c r="C676" s="152"/>
      <c r="D676" s="153"/>
      <c r="E676" s="154"/>
      <c r="F676" s="85"/>
      <c r="G676" s="155"/>
      <c r="H676" s="156">
        <f t="shared" si="1"/>
        <v>362243.91</v>
      </c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</row>
    <row r="677">
      <c r="A677" s="150"/>
      <c r="B677" s="151"/>
      <c r="C677" s="152"/>
      <c r="D677" s="153"/>
      <c r="E677" s="154"/>
      <c r="F677" s="85"/>
      <c r="G677" s="155"/>
      <c r="H677" s="156">
        <f t="shared" si="1"/>
        <v>362243.91</v>
      </c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</row>
    <row r="678">
      <c r="A678" s="150"/>
      <c r="B678" s="151"/>
      <c r="C678" s="152"/>
      <c r="D678" s="153"/>
      <c r="E678" s="154"/>
      <c r="F678" s="85"/>
      <c r="G678" s="155"/>
      <c r="H678" s="156">
        <f t="shared" si="1"/>
        <v>362243.91</v>
      </c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</row>
    <row r="679">
      <c r="A679" s="150"/>
      <c r="B679" s="151"/>
      <c r="C679" s="152"/>
      <c r="D679" s="153"/>
      <c r="E679" s="154"/>
      <c r="F679" s="85"/>
      <c r="G679" s="155"/>
      <c r="H679" s="156">
        <f t="shared" si="1"/>
        <v>362243.91</v>
      </c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</row>
    <row r="680">
      <c r="A680" s="150"/>
      <c r="B680" s="151"/>
      <c r="C680" s="152"/>
      <c r="D680" s="153"/>
      <c r="E680" s="154"/>
      <c r="F680" s="85"/>
      <c r="G680" s="155"/>
      <c r="H680" s="156">
        <f t="shared" si="1"/>
        <v>362243.91</v>
      </c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</row>
    <row r="681">
      <c r="A681" s="150"/>
      <c r="B681" s="151"/>
      <c r="C681" s="152"/>
      <c r="D681" s="153"/>
      <c r="E681" s="154"/>
      <c r="F681" s="85"/>
      <c r="G681" s="155"/>
      <c r="H681" s="156">
        <f t="shared" si="1"/>
        <v>362243.91</v>
      </c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</row>
    <row r="682">
      <c r="A682" s="150"/>
      <c r="B682" s="151"/>
      <c r="C682" s="152"/>
      <c r="D682" s="153"/>
      <c r="E682" s="154"/>
      <c r="F682" s="85"/>
      <c r="G682" s="155"/>
      <c r="H682" s="156">
        <f t="shared" si="1"/>
        <v>362243.91</v>
      </c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</row>
    <row r="683">
      <c r="A683" s="150"/>
      <c r="B683" s="151"/>
      <c r="C683" s="152"/>
      <c r="D683" s="153"/>
      <c r="E683" s="154"/>
      <c r="F683" s="85"/>
      <c r="G683" s="155"/>
      <c r="H683" s="156">
        <f t="shared" si="1"/>
        <v>362243.91</v>
      </c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</row>
    <row r="684">
      <c r="A684" s="150"/>
      <c r="B684" s="151"/>
      <c r="C684" s="152"/>
      <c r="D684" s="153"/>
      <c r="E684" s="154"/>
      <c r="F684" s="85"/>
      <c r="G684" s="155"/>
      <c r="H684" s="156">
        <f t="shared" si="1"/>
        <v>362243.91</v>
      </c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</row>
    <row r="685">
      <c r="A685" s="150"/>
      <c r="B685" s="151"/>
      <c r="C685" s="152"/>
      <c r="D685" s="153"/>
      <c r="E685" s="154"/>
      <c r="F685" s="85"/>
      <c r="G685" s="155"/>
      <c r="H685" s="156">
        <f t="shared" si="1"/>
        <v>362243.91</v>
      </c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</row>
    <row r="686">
      <c r="A686" s="150"/>
      <c r="B686" s="151"/>
      <c r="C686" s="152"/>
      <c r="D686" s="153"/>
      <c r="E686" s="154"/>
      <c r="F686" s="85"/>
      <c r="G686" s="155"/>
      <c r="H686" s="156">
        <f t="shared" si="1"/>
        <v>362243.91</v>
      </c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</row>
    <row r="687">
      <c r="A687" s="150"/>
      <c r="B687" s="151"/>
      <c r="C687" s="152"/>
      <c r="D687" s="153"/>
      <c r="E687" s="154"/>
      <c r="F687" s="85"/>
      <c r="G687" s="155"/>
      <c r="H687" s="156">
        <f t="shared" si="1"/>
        <v>362243.91</v>
      </c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</row>
    <row r="688">
      <c r="A688" s="150"/>
      <c r="B688" s="151"/>
      <c r="C688" s="152"/>
      <c r="D688" s="153"/>
      <c r="E688" s="154"/>
      <c r="F688" s="85"/>
      <c r="G688" s="155"/>
      <c r="H688" s="156">
        <f t="shared" si="1"/>
        <v>362243.91</v>
      </c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</row>
    <row r="689">
      <c r="A689" s="150"/>
      <c r="B689" s="151"/>
      <c r="C689" s="152"/>
      <c r="D689" s="153"/>
      <c r="E689" s="154"/>
      <c r="F689" s="85"/>
      <c r="G689" s="155"/>
      <c r="H689" s="156">
        <f t="shared" si="1"/>
        <v>362243.91</v>
      </c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</row>
    <row r="690">
      <c r="A690" s="150"/>
      <c r="B690" s="151"/>
      <c r="C690" s="152"/>
      <c r="D690" s="153"/>
      <c r="E690" s="154"/>
      <c r="F690" s="85"/>
      <c r="G690" s="155"/>
      <c r="H690" s="156">
        <f t="shared" si="1"/>
        <v>362243.91</v>
      </c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</row>
    <row r="691">
      <c r="A691" s="150"/>
      <c r="B691" s="151"/>
      <c r="C691" s="152"/>
      <c r="D691" s="153"/>
      <c r="E691" s="154"/>
      <c r="F691" s="85"/>
      <c r="G691" s="155"/>
      <c r="H691" s="156">
        <f t="shared" si="1"/>
        <v>362243.91</v>
      </c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</row>
    <row r="692">
      <c r="A692" s="150"/>
      <c r="B692" s="151"/>
      <c r="C692" s="152"/>
      <c r="D692" s="153"/>
      <c r="E692" s="154"/>
      <c r="F692" s="85"/>
      <c r="G692" s="155"/>
      <c r="H692" s="156">
        <f t="shared" si="1"/>
        <v>362243.91</v>
      </c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</row>
    <row r="693">
      <c r="A693" s="150"/>
      <c r="B693" s="151"/>
      <c r="C693" s="152"/>
      <c r="D693" s="153"/>
      <c r="E693" s="154"/>
      <c r="F693" s="85"/>
      <c r="G693" s="155"/>
      <c r="H693" s="156">
        <f t="shared" si="1"/>
        <v>362243.91</v>
      </c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</row>
    <row r="694">
      <c r="A694" s="150"/>
      <c r="B694" s="151"/>
      <c r="C694" s="152"/>
      <c r="D694" s="153"/>
      <c r="E694" s="154"/>
      <c r="F694" s="85"/>
      <c r="G694" s="155"/>
      <c r="H694" s="156">
        <f t="shared" si="1"/>
        <v>362243.91</v>
      </c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</row>
    <row r="695">
      <c r="A695" s="150"/>
      <c r="B695" s="151"/>
      <c r="C695" s="152"/>
      <c r="D695" s="153"/>
      <c r="E695" s="154"/>
      <c r="F695" s="85"/>
      <c r="G695" s="155"/>
      <c r="H695" s="156">
        <f t="shared" si="1"/>
        <v>362243.91</v>
      </c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</row>
    <row r="696">
      <c r="A696" s="150"/>
      <c r="B696" s="151"/>
      <c r="C696" s="152"/>
      <c r="D696" s="153"/>
      <c r="E696" s="154"/>
      <c r="F696" s="85"/>
      <c r="G696" s="155"/>
      <c r="H696" s="156">
        <f t="shared" si="1"/>
        <v>362243.91</v>
      </c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</row>
    <row r="697">
      <c r="A697" s="150"/>
      <c r="B697" s="151"/>
      <c r="C697" s="152"/>
      <c r="D697" s="153"/>
      <c r="E697" s="154"/>
      <c r="F697" s="85"/>
      <c r="G697" s="155"/>
      <c r="H697" s="156">
        <f t="shared" si="1"/>
        <v>362243.91</v>
      </c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</row>
    <row r="698">
      <c r="A698" s="150"/>
      <c r="B698" s="151"/>
      <c r="C698" s="152"/>
      <c r="D698" s="153"/>
      <c r="E698" s="154"/>
      <c r="F698" s="85"/>
      <c r="G698" s="155"/>
      <c r="H698" s="156">
        <f t="shared" si="1"/>
        <v>362243.91</v>
      </c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</row>
    <row r="699">
      <c r="A699" s="150"/>
      <c r="B699" s="151"/>
      <c r="C699" s="152"/>
      <c r="D699" s="153"/>
      <c r="E699" s="154"/>
      <c r="F699" s="85"/>
      <c r="G699" s="155"/>
      <c r="H699" s="156">
        <f t="shared" si="1"/>
        <v>362243.91</v>
      </c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</row>
    <row r="700">
      <c r="A700" s="150"/>
      <c r="B700" s="151"/>
      <c r="C700" s="152"/>
      <c r="D700" s="153"/>
      <c r="E700" s="154"/>
      <c r="F700" s="85"/>
      <c r="G700" s="155"/>
      <c r="H700" s="156">
        <f t="shared" si="1"/>
        <v>362243.91</v>
      </c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</row>
    <row r="701">
      <c r="A701" s="150"/>
      <c r="B701" s="151"/>
      <c r="C701" s="152"/>
      <c r="D701" s="153"/>
      <c r="E701" s="154"/>
      <c r="F701" s="85"/>
      <c r="G701" s="155"/>
      <c r="H701" s="156">
        <f t="shared" si="1"/>
        <v>362243.91</v>
      </c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</row>
    <row r="702">
      <c r="A702" s="150"/>
      <c r="B702" s="151"/>
      <c r="C702" s="152"/>
      <c r="D702" s="153"/>
      <c r="E702" s="154"/>
      <c r="F702" s="85"/>
      <c r="G702" s="155"/>
      <c r="H702" s="156">
        <f t="shared" si="1"/>
        <v>362243.91</v>
      </c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</row>
    <row r="703">
      <c r="A703" s="150"/>
      <c r="B703" s="151"/>
      <c r="C703" s="152"/>
      <c r="D703" s="153"/>
      <c r="E703" s="154"/>
      <c r="F703" s="85"/>
      <c r="G703" s="155"/>
      <c r="H703" s="156">
        <f t="shared" si="1"/>
        <v>362243.91</v>
      </c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</row>
    <row r="704">
      <c r="A704" s="150"/>
      <c r="B704" s="151"/>
      <c r="C704" s="152"/>
      <c r="D704" s="153"/>
      <c r="E704" s="154"/>
      <c r="F704" s="85"/>
      <c r="G704" s="155"/>
      <c r="H704" s="156">
        <f t="shared" si="1"/>
        <v>362243.91</v>
      </c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</row>
    <row r="705">
      <c r="A705" s="150"/>
      <c r="B705" s="151"/>
      <c r="C705" s="152"/>
      <c r="D705" s="153"/>
      <c r="E705" s="154"/>
      <c r="F705" s="85"/>
      <c r="G705" s="155"/>
      <c r="H705" s="156">
        <f t="shared" si="1"/>
        <v>362243.91</v>
      </c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</row>
    <row r="706">
      <c r="A706" s="150"/>
      <c r="B706" s="151"/>
      <c r="C706" s="152"/>
      <c r="D706" s="153"/>
      <c r="E706" s="154"/>
      <c r="F706" s="85"/>
      <c r="G706" s="155"/>
      <c r="H706" s="156">
        <f t="shared" si="1"/>
        <v>362243.91</v>
      </c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</row>
    <row r="707">
      <c r="A707" s="150"/>
      <c r="B707" s="151"/>
      <c r="C707" s="152"/>
      <c r="D707" s="153"/>
      <c r="E707" s="154"/>
      <c r="F707" s="85"/>
      <c r="G707" s="155"/>
      <c r="H707" s="156">
        <f t="shared" si="1"/>
        <v>362243.91</v>
      </c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</row>
    <row r="708">
      <c r="A708" s="150"/>
      <c r="B708" s="151"/>
      <c r="C708" s="152"/>
      <c r="D708" s="153"/>
      <c r="E708" s="154"/>
      <c r="F708" s="85"/>
      <c r="G708" s="155"/>
      <c r="H708" s="156">
        <f t="shared" si="1"/>
        <v>362243.91</v>
      </c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</row>
    <row r="709">
      <c r="A709" s="150"/>
      <c r="B709" s="151"/>
      <c r="C709" s="152"/>
      <c r="D709" s="153"/>
      <c r="E709" s="154"/>
      <c r="F709" s="85"/>
      <c r="G709" s="155"/>
      <c r="H709" s="156">
        <f t="shared" si="1"/>
        <v>362243.91</v>
      </c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</row>
    <row r="710">
      <c r="A710" s="150"/>
      <c r="B710" s="151"/>
      <c r="C710" s="152"/>
      <c r="D710" s="153"/>
      <c r="E710" s="154"/>
      <c r="F710" s="85"/>
      <c r="G710" s="155"/>
      <c r="H710" s="156">
        <f t="shared" si="1"/>
        <v>362243.91</v>
      </c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</row>
    <row r="711">
      <c r="A711" s="150"/>
      <c r="B711" s="151"/>
      <c r="C711" s="152"/>
      <c r="D711" s="153"/>
      <c r="E711" s="154"/>
      <c r="F711" s="85"/>
      <c r="G711" s="155"/>
      <c r="H711" s="156">
        <f t="shared" si="1"/>
        <v>362243.91</v>
      </c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</row>
    <row r="712">
      <c r="A712" s="150"/>
      <c r="B712" s="151"/>
      <c r="C712" s="152"/>
      <c r="D712" s="153"/>
      <c r="E712" s="154"/>
      <c r="F712" s="85"/>
      <c r="G712" s="155"/>
      <c r="H712" s="156">
        <f t="shared" si="1"/>
        <v>362243.91</v>
      </c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</row>
    <row r="713">
      <c r="A713" s="150"/>
      <c r="B713" s="151"/>
      <c r="C713" s="152"/>
      <c r="D713" s="153"/>
      <c r="E713" s="154"/>
      <c r="F713" s="85"/>
      <c r="G713" s="155"/>
      <c r="H713" s="156">
        <f t="shared" si="1"/>
        <v>362243.91</v>
      </c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</row>
    <row r="714">
      <c r="A714" s="150"/>
      <c r="B714" s="151"/>
      <c r="C714" s="152"/>
      <c r="D714" s="153"/>
      <c r="E714" s="154"/>
      <c r="F714" s="85"/>
      <c r="G714" s="155"/>
      <c r="H714" s="156">
        <f t="shared" si="1"/>
        <v>362243.91</v>
      </c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</row>
    <row r="715">
      <c r="A715" s="150"/>
      <c r="B715" s="151"/>
      <c r="C715" s="152"/>
      <c r="D715" s="153"/>
      <c r="E715" s="154"/>
      <c r="F715" s="85"/>
      <c r="G715" s="155"/>
      <c r="H715" s="156">
        <f t="shared" si="1"/>
        <v>362243.91</v>
      </c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</row>
    <row r="716">
      <c r="A716" s="150"/>
      <c r="B716" s="151"/>
      <c r="C716" s="152"/>
      <c r="D716" s="153"/>
      <c r="E716" s="154"/>
      <c r="F716" s="85"/>
      <c r="G716" s="155"/>
      <c r="H716" s="156">
        <f t="shared" si="1"/>
        <v>362243.91</v>
      </c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</row>
    <row r="717">
      <c r="A717" s="150"/>
      <c r="B717" s="151"/>
      <c r="C717" s="152"/>
      <c r="D717" s="153"/>
      <c r="E717" s="154"/>
      <c r="F717" s="85"/>
      <c r="G717" s="155"/>
      <c r="H717" s="156">
        <f t="shared" si="1"/>
        <v>362243.91</v>
      </c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</row>
    <row r="718">
      <c r="A718" s="150"/>
      <c r="B718" s="151"/>
      <c r="C718" s="152"/>
      <c r="D718" s="153"/>
      <c r="E718" s="154"/>
      <c r="F718" s="85"/>
      <c r="G718" s="155"/>
      <c r="H718" s="156">
        <f t="shared" si="1"/>
        <v>362243.91</v>
      </c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</row>
    <row r="719">
      <c r="A719" s="150"/>
      <c r="B719" s="151"/>
      <c r="C719" s="152"/>
      <c r="D719" s="153"/>
      <c r="E719" s="154"/>
      <c r="F719" s="85"/>
      <c r="G719" s="155"/>
      <c r="H719" s="156">
        <f t="shared" si="1"/>
        <v>362243.91</v>
      </c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</row>
    <row r="720">
      <c r="A720" s="150"/>
      <c r="B720" s="151"/>
      <c r="C720" s="152"/>
      <c r="D720" s="153"/>
      <c r="E720" s="154"/>
      <c r="F720" s="85"/>
      <c r="G720" s="155"/>
      <c r="H720" s="156">
        <f t="shared" si="1"/>
        <v>362243.91</v>
      </c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</row>
    <row r="721">
      <c r="A721" s="150"/>
      <c r="B721" s="151"/>
      <c r="C721" s="152"/>
      <c r="D721" s="153"/>
      <c r="E721" s="154"/>
      <c r="F721" s="85"/>
      <c r="G721" s="155"/>
      <c r="H721" s="156">
        <f t="shared" si="1"/>
        <v>362243.91</v>
      </c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</row>
    <row r="722">
      <c r="A722" s="150"/>
      <c r="B722" s="151"/>
      <c r="C722" s="152"/>
      <c r="D722" s="153"/>
      <c r="E722" s="154"/>
      <c r="F722" s="85"/>
      <c r="G722" s="155"/>
      <c r="H722" s="156">
        <f t="shared" si="1"/>
        <v>362243.91</v>
      </c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</row>
    <row r="723">
      <c r="A723" s="150"/>
      <c r="B723" s="151"/>
      <c r="C723" s="152"/>
      <c r="D723" s="153"/>
      <c r="E723" s="154"/>
      <c r="F723" s="85"/>
      <c r="G723" s="155"/>
      <c r="H723" s="156">
        <f t="shared" si="1"/>
        <v>362243.91</v>
      </c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</row>
    <row r="724">
      <c r="A724" s="150"/>
      <c r="B724" s="151"/>
      <c r="C724" s="152"/>
      <c r="D724" s="153"/>
      <c r="E724" s="154"/>
      <c r="F724" s="85"/>
      <c r="G724" s="155"/>
      <c r="H724" s="156">
        <f t="shared" si="1"/>
        <v>362243.91</v>
      </c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</row>
    <row r="725">
      <c r="A725" s="150"/>
      <c r="B725" s="151"/>
      <c r="C725" s="152"/>
      <c r="D725" s="153"/>
      <c r="E725" s="154"/>
      <c r="F725" s="85"/>
      <c r="G725" s="155"/>
      <c r="H725" s="156">
        <f t="shared" si="1"/>
        <v>362243.91</v>
      </c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</row>
    <row r="726">
      <c r="A726" s="150"/>
      <c r="B726" s="151"/>
      <c r="C726" s="152"/>
      <c r="D726" s="153"/>
      <c r="E726" s="154"/>
      <c r="F726" s="85"/>
      <c r="G726" s="155"/>
      <c r="H726" s="156">
        <f t="shared" si="1"/>
        <v>362243.91</v>
      </c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</row>
    <row r="727">
      <c r="A727" s="150"/>
      <c r="B727" s="151"/>
      <c r="C727" s="152"/>
      <c r="D727" s="153"/>
      <c r="E727" s="154"/>
      <c r="F727" s="85"/>
      <c r="G727" s="155"/>
      <c r="H727" s="156">
        <f t="shared" si="1"/>
        <v>362243.91</v>
      </c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</row>
    <row r="728">
      <c r="A728" s="150"/>
      <c r="B728" s="151"/>
      <c r="C728" s="152"/>
      <c r="D728" s="153"/>
      <c r="E728" s="154"/>
      <c r="F728" s="85"/>
      <c r="G728" s="155"/>
      <c r="H728" s="156">
        <f t="shared" si="1"/>
        <v>362243.91</v>
      </c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</row>
    <row r="729">
      <c r="A729" s="150"/>
      <c r="B729" s="151"/>
      <c r="C729" s="152"/>
      <c r="D729" s="153"/>
      <c r="E729" s="154"/>
      <c r="F729" s="85"/>
      <c r="G729" s="155"/>
      <c r="H729" s="156">
        <f t="shared" si="1"/>
        <v>362243.91</v>
      </c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</row>
    <row r="730">
      <c r="A730" s="150"/>
      <c r="B730" s="151"/>
      <c r="C730" s="152"/>
      <c r="D730" s="153"/>
      <c r="E730" s="154"/>
      <c r="F730" s="85"/>
      <c r="G730" s="155"/>
      <c r="H730" s="156">
        <f t="shared" si="1"/>
        <v>362243.91</v>
      </c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</row>
    <row r="731">
      <c r="A731" s="150"/>
      <c r="B731" s="151"/>
      <c r="C731" s="152"/>
      <c r="D731" s="153"/>
      <c r="E731" s="154"/>
      <c r="F731" s="85"/>
      <c r="G731" s="155"/>
      <c r="H731" s="156">
        <f t="shared" si="1"/>
        <v>362243.91</v>
      </c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</row>
    <row r="732">
      <c r="A732" s="150"/>
      <c r="B732" s="151"/>
      <c r="C732" s="152"/>
      <c r="D732" s="153"/>
      <c r="E732" s="154"/>
      <c r="F732" s="85"/>
      <c r="G732" s="155"/>
      <c r="H732" s="156">
        <f t="shared" si="1"/>
        <v>362243.91</v>
      </c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</row>
    <row r="733">
      <c r="A733" s="150"/>
      <c r="B733" s="151"/>
      <c r="C733" s="152"/>
      <c r="D733" s="153"/>
      <c r="E733" s="154"/>
      <c r="F733" s="85"/>
      <c r="G733" s="155"/>
      <c r="H733" s="156">
        <f t="shared" si="1"/>
        <v>362243.91</v>
      </c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</row>
    <row r="734">
      <c r="A734" s="150"/>
      <c r="B734" s="151"/>
      <c r="C734" s="152"/>
      <c r="D734" s="153"/>
      <c r="E734" s="154"/>
      <c r="F734" s="85"/>
      <c r="G734" s="155"/>
      <c r="H734" s="156">
        <f t="shared" si="1"/>
        <v>362243.91</v>
      </c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</row>
    <row r="735">
      <c r="A735" s="150"/>
      <c r="B735" s="151"/>
      <c r="C735" s="152"/>
      <c r="D735" s="153"/>
      <c r="E735" s="154"/>
      <c r="F735" s="85"/>
      <c r="G735" s="155"/>
      <c r="H735" s="156">
        <f t="shared" si="1"/>
        <v>362243.91</v>
      </c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</row>
    <row r="736">
      <c r="A736" s="150"/>
      <c r="B736" s="151"/>
      <c r="C736" s="152"/>
      <c r="D736" s="153"/>
      <c r="E736" s="154"/>
      <c r="F736" s="85"/>
      <c r="G736" s="155"/>
      <c r="H736" s="156">
        <f t="shared" si="1"/>
        <v>362243.91</v>
      </c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</row>
    <row r="737">
      <c r="A737" s="150"/>
      <c r="B737" s="151"/>
      <c r="C737" s="152"/>
      <c r="D737" s="153"/>
      <c r="E737" s="154"/>
      <c r="F737" s="85"/>
      <c r="G737" s="155"/>
      <c r="H737" s="156">
        <f t="shared" si="1"/>
        <v>362243.91</v>
      </c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</row>
    <row r="738">
      <c r="A738" s="150"/>
      <c r="B738" s="151"/>
      <c r="C738" s="152"/>
      <c r="D738" s="153"/>
      <c r="E738" s="154"/>
      <c r="F738" s="85"/>
      <c r="G738" s="155"/>
      <c r="H738" s="156">
        <f t="shared" si="1"/>
        <v>362243.91</v>
      </c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</row>
    <row r="739">
      <c r="A739" s="150"/>
      <c r="B739" s="151"/>
      <c r="C739" s="152"/>
      <c r="D739" s="153"/>
      <c r="E739" s="154"/>
      <c r="F739" s="85"/>
      <c r="G739" s="155"/>
      <c r="H739" s="156">
        <f t="shared" si="1"/>
        <v>362243.91</v>
      </c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</row>
    <row r="740">
      <c r="A740" s="150"/>
      <c r="B740" s="151"/>
      <c r="C740" s="152"/>
      <c r="D740" s="153"/>
      <c r="E740" s="154"/>
      <c r="F740" s="85"/>
      <c r="G740" s="155"/>
      <c r="H740" s="156">
        <f t="shared" si="1"/>
        <v>362243.91</v>
      </c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</row>
    <row r="741">
      <c r="A741" s="150"/>
      <c r="B741" s="151"/>
      <c r="C741" s="152"/>
      <c r="D741" s="153"/>
      <c r="E741" s="154"/>
      <c r="F741" s="85"/>
      <c r="G741" s="155"/>
      <c r="H741" s="156">
        <f t="shared" si="1"/>
        <v>362243.91</v>
      </c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</row>
    <row r="742">
      <c r="A742" s="150"/>
      <c r="B742" s="151"/>
      <c r="C742" s="152"/>
      <c r="D742" s="153"/>
      <c r="E742" s="154"/>
      <c r="F742" s="85"/>
      <c r="G742" s="155"/>
      <c r="H742" s="156">
        <f t="shared" si="1"/>
        <v>362243.91</v>
      </c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</row>
    <row r="743">
      <c r="A743" s="150"/>
      <c r="B743" s="151"/>
      <c r="C743" s="152"/>
      <c r="D743" s="153"/>
      <c r="E743" s="154"/>
      <c r="F743" s="85"/>
      <c r="G743" s="155"/>
      <c r="H743" s="156">
        <f t="shared" si="1"/>
        <v>362243.91</v>
      </c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</row>
    <row r="744">
      <c r="A744" s="150"/>
      <c r="B744" s="151"/>
      <c r="C744" s="152"/>
      <c r="D744" s="153"/>
      <c r="E744" s="154"/>
      <c r="F744" s="85"/>
      <c r="G744" s="155"/>
      <c r="H744" s="156">
        <f t="shared" si="1"/>
        <v>362243.91</v>
      </c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</row>
    <row r="745">
      <c r="A745" s="150"/>
      <c r="B745" s="151"/>
      <c r="C745" s="152"/>
      <c r="D745" s="153"/>
      <c r="E745" s="154"/>
      <c r="F745" s="85"/>
      <c r="G745" s="155"/>
      <c r="H745" s="156">
        <f t="shared" si="1"/>
        <v>362243.91</v>
      </c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</row>
    <row r="746">
      <c r="A746" s="150"/>
      <c r="B746" s="151"/>
      <c r="C746" s="152"/>
      <c r="D746" s="153"/>
      <c r="E746" s="154"/>
      <c r="F746" s="85"/>
      <c r="G746" s="155"/>
      <c r="H746" s="156">
        <f t="shared" si="1"/>
        <v>362243.91</v>
      </c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</row>
    <row r="747">
      <c r="A747" s="150"/>
      <c r="B747" s="151"/>
      <c r="C747" s="152"/>
      <c r="D747" s="153"/>
      <c r="E747" s="154"/>
      <c r="F747" s="85"/>
      <c r="G747" s="155"/>
      <c r="H747" s="156">
        <f t="shared" si="1"/>
        <v>362243.91</v>
      </c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</row>
    <row r="748">
      <c r="A748" s="150"/>
      <c r="B748" s="151"/>
      <c r="C748" s="152"/>
      <c r="D748" s="153"/>
      <c r="E748" s="154"/>
      <c r="F748" s="85"/>
      <c r="G748" s="155"/>
      <c r="H748" s="156">
        <f t="shared" si="1"/>
        <v>362243.91</v>
      </c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</row>
    <row r="749">
      <c r="A749" s="150"/>
      <c r="B749" s="151"/>
      <c r="C749" s="152"/>
      <c r="D749" s="153"/>
      <c r="E749" s="154"/>
      <c r="F749" s="85"/>
      <c r="G749" s="155"/>
      <c r="H749" s="156">
        <f t="shared" si="1"/>
        <v>362243.91</v>
      </c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</row>
    <row r="750">
      <c r="A750" s="150"/>
      <c r="B750" s="151"/>
      <c r="C750" s="152"/>
      <c r="D750" s="153"/>
      <c r="E750" s="154"/>
      <c r="F750" s="85"/>
      <c r="G750" s="155"/>
      <c r="H750" s="156">
        <f t="shared" si="1"/>
        <v>362243.91</v>
      </c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</row>
    <row r="751">
      <c r="A751" s="150"/>
      <c r="B751" s="151"/>
      <c r="C751" s="152"/>
      <c r="D751" s="153"/>
      <c r="E751" s="154"/>
      <c r="F751" s="85"/>
      <c r="G751" s="155"/>
      <c r="H751" s="156">
        <f t="shared" si="1"/>
        <v>362243.91</v>
      </c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</row>
    <row r="752">
      <c r="A752" s="150"/>
      <c r="B752" s="151"/>
      <c r="C752" s="152"/>
      <c r="D752" s="153"/>
      <c r="E752" s="154"/>
      <c r="F752" s="85"/>
      <c r="G752" s="155"/>
      <c r="H752" s="156">
        <f t="shared" si="1"/>
        <v>362243.91</v>
      </c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</row>
    <row r="753">
      <c r="A753" s="150"/>
      <c r="B753" s="151"/>
      <c r="C753" s="152"/>
      <c r="D753" s="153"/>
      <c r="E753" s="154"/>
      <c r="F753" s="85"/>
      <c r="G753" s="155"/>
      <c r="H753" s="156">
        <f t="shared" si="1"/>
        <v>362243.91</v>
      </c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</row>
    <row r="754">
      <c r="A754" s="150"/>
      <c r="B754" s="151"/>
      <c r="C754" s="152"/>
      <c r="D754" s="153"/>
      <c r="E754" s="154"/>
      <c r="F754" s="85"/>
      <c r="G754" s="155"/>
      <c r="H754" s="156">
        <f t="shared" si="1"/>
        <v>362243.91</v>
      </c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</row>
    <row r="755">
      <c r="A755" s="150"/>
      <c r="B755" s="151"/>
      <c r="C755" s="152"/>
      <c r="D755" s="153"/>
      <c r="E755" s="154"/>
      <c r="F755" s="85"/>
      <c r="G755" s="155"/>
      <c r="H755" s="156">
        <f t="shared" si="1"/>
        <v>362243.91</v>
      </c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</row>
    <row r="756">
      <c r="A756" s="150"/>
      <c r="B756" s="151"/>
      <c r="C756" s="152"/>
      <c r="D756" s="153"/>
      <c r="E756" s="154"/>
      <c r="F756" s="85"/>
      <c r="G756" s="155"/>
      <c r="H756" s="156">
        <f t="shared" si="1"/>
        <v>362243.91</v>
      </c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</row>
    <row r="757">
      <c r="A757" s="150"/>
      <c r="B757" s="151"/>
      <c r="C757" s="152"/>
      <c r="D757" s="153"/>
      <c r="E757" s="154"/>
      <c r="F757" s="85"/>
      <c r="G757" s="155"/>
      <c r="H757" s="156">
        <f t="shared" si="1"/>
        <v>362243.91</v>
      </c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</row>
    <row r="758">
      <c r="A758" s="150"/>
      <c r="B758" s="151"/>
      <c r="C758" s="152"/>
      <c r="D758" s="153"/>
      <c r="E758" s="154"/>
      <c r="F758" s="85"/>
      <c r="G758" s="155"/>
      <c r="H758" s="156">
        <f t="shared" si="1"/>
        <v>362243.91</v>
      </c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</row>
    <row r="759">
      <c r="A759" s="150"/>
      <c r="B759" s="151"/>
      <c r="C759" s="152"/>
      <c r="D759" s="153"/>
      <c r="E759" s="154"/>
      <c r="F759" s="85"/>
      <c r="G759" s="155"/>
      <c r="H759" s="156">
        <f t="shared" si="1"/>
        <v>362243.91</v>
      </c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</row>
    <row r="760">
      <c r="A760" s="150"/>
      <c r="B760" s="151"/>
      <c r="C760" s="152"/>
      <c r="D760" s="153"/>
      <c r="E760" s="154"/>
      <c r="F760" s="85"/>
      <c r="G760" s="155"/>
      <c r="H760" s="156">
        <f t="shared" si="1"/>
        <v>362243.91</v>
      </c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</row>
    <row r="761">
      <c r="A761" s="150"/>
      <c r="B761" s="151"/>
      <c r="C761" s="152"/>
      <c r="D761" s="153"/>
      <c r="E761" s="154"/>
      <c r="F761" s="85"/>
      <c r="G761" s="155"/>
      <c r="H761" s="156">
        <f t="shared" si="1"/>
        <v>362243.91</v>
      </c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</row>
    <row r="762">
      <c r="A762" s="150"/>
      <c r="B762" s="151"/>
      <c r="C762" s="152"/>
      <c r="D762" s="153"/>
      <c r="E762" s="154"/>
      <c r="F762" s="85"/>
      <c r="G762" s="155"/>
      <c r="H762" s="156">
        <f t="shared" si="1"/>
        <v>362243.91</v>
      </c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</row>
    <row r="763">
      <c r="A763" s="150"/>
      <c r="B763" s="151"/>
      <c r="C763" s="152"/>
      <c r="D763" s="153"/>
      <c r="E763" s="154"/>
      <c r="F763" s="85"/>
      <c r="G763" s="155"/>
      <c r="H763" s="156">
        <f t="shared" si="1"/>
        <v>362243.91</v>
      </c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</row>
    <row r="764">
      <c r="A764" s="150"/>
      <c r="B764" s="151"/>
      <c r="C764" s="152"/>
      <c r="D764" s="153"/>
      <c r="E764" s="154"/>
      <c r="F764" s="85"/>
      <c r="G764" s="155"/>
      <c r="H764" s="156">
        <f t="shared" si="1"/>
        <v>362243.91</v>
      </c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</row>
    <row r="765">
      <c r="A765" s="150"/>
      <c r="B765" s="151"/>
      <c r="C765" s="152"/>
      <c r="D765" s="153"/>
      <c r="E765" s="154"/>
      <c r="F765" s="85"/>
      <c r="G765" s="155"/>
      <c r="H765" s="156">
        <f t="shared" si="1"/>
        <v>362243.91</v>
      </c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</row>
    <row r="766">
      <c r="A766" s="150"/>
      <c r="B766" s="151"/>
      <c r="C766" s="152"/>
      <c r="D766" s="153"/>
      <c r="E766" s="154"/>
      <c r="F766" s="85"/>
      <c r="G766" s="155"/>
      <c r="H766" s="156">
        <f t="shared" si="1"/>
        <v>362243.91</v>
      </c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</row>
    <row r="767">
      <c r="A767" s="150"/>
      <c r="B767" s="151"/>
      <c r="C767" s="152"/>
      <c r="D767" s="153"/>
      <c r="E767" s="154"/>
      <c r="F767" s="85"/>
      <c r="G767" s="155"/>
      <c r="H767" s="156">
        <f t="shared" si="1"/>
        <v>362243.91</v>
      </c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</row>
    <row r="768">
      <c r="A768" s="150"/>
      <c r="B768" s="151"/>
      <c r="C768" s="152"/>
      <c r="D768" s="153"/>
      <c r="E768" s="154"/>
      <c r="F768" s="85"/>
      <c r="G768" s="155"/>
      <c r="H768" s="156">
        <f t="shared" si="1"/>
        <v>362243.91</v>
      </c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</row>
    <row r="769">
      <c r="A769" s="150"/>
      <c r="B769" s="151"/>
      <c r="C769" s="152"/>
      <c r="D769" s="153"/>
      <c r="E769" s="154"/>
      <c r="F769" s="85"/>
      <c r="G769" s="155"/>
      <c r="H769" s="156">
        <f t="shared" si="1"/>
        <v>362243.91</v>
      </c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</row>
    <row r="770">
      <c r="A770" s="150"/>
      <c r="B770" s="151"/>
      <c r="C770" s="152"/>
      <c r="D770" s="153"/>
      <c r="E770" s="154"/>
      <c r="F770" s="85"/>
      <c r="G770" s="155"/>
      <c r="H770" s="156">
        <f t="shared" si="1"/>
        <v>362243.91</v>
      </c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</row>
    <row r="771">
      <c r="A771" s="150"/>
      <c r="B771" s="151"/>
      <c r="C771" s="152"/>
      <c r="D771" s="153"/>
      <c r="E771" s="154"/>
      <c r="F771" s="85"/>
      <c r="G771" s="155"/>
      <c r="H771" s="156">
        <f t="shared" si="1"/>
        <v>362243.91</v>
      </c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</row>
    <row r="772">
      <c r="A772" s="150"/>
      <c r="B772" s="151"/>
      <c r="C772" s="152"/>
      <c r="D772" s="153"/>
      <c r="E772" s="154"/>
      <c r="F772" s="85"/>
      <c r="G772" s="155"/>
      <c r="H772" s="156">
        <f t="shared" si="1"/>
        <v>362243.91</v>
      </c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</row>
    <row r="773">
      <c r="A773" s="150"/>
      <c r="B773" s="151"/>
      <c r="C773" s="152"/>
      <c r="D773" s="153"/>
      <c r="E773" s="154"/>
      <c r="F773" s="85"/>
      <c r="G773" s="155"/>
      <c r="H773" s="156">
        <f t="shared" si="1"/>
        <v>362243.91</v>
      </c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</row>
    <row r="774">
      <c r="A774" s="150"/>
      <c r="B774" s="151"/>
      <c r="C774" s="152"/>
      <c r="D774" s="153"/>
      <c r="E774" s="154"/>
      <c r="F774" s="85"/>
      <c r="G774" s="155"/>
      <c r="H774" s="156">
        <f t="shared" si="1"/>
        <v>362243.91</v>
      </c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</row>
    <row r="775">
      <c r="A775" s="150"/>
      <c r="B775" s="151"/>
      <c r="C775" s="152"/>
      <c r="D775" s="153"/>
      <c r="E775" s="154"/>
      <c r="F775" s="85"/>
      <c r="G775" s="155"/>
      <c r="H775" s="156">
        <f t="shared" si="1"/>
        <v>362243.91</v>
      </c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</row>
    <row r="776">
      <c r="A776" s="150"/>
      <c r="B776" s="151"/>
      <c r="C776" s="152"/>
      <c r="D776" s="153"/>
      <c r="E776" s="154"/>
      <c r="F776" s="85"/>
      <c r="G776" s="155"/>
      <c r="H776" s="156">
        <f t="shared" si="1"/>
        <v>362243.91</v>
      </c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</row>
    <row r="777">
      <c r="A777" s="150"/>
      <c r="B777" s="151"/>
      <c r="C777" s="152"/>
      <c r="D777" s="153"/>
      <c r="E777" s="154"/>
      <c r="F777" s="85"/>
      <c r="G777" s="155"/>
      <c r="H777" s="156">
        <f t="shared" si="1"/>
        <v>362243.91</v>
      </c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</row>
    <row r="778">
      <c r="A778" s="150"/>
      <c r="B778" s="151"/>
      <c r="C778" s="152"/>
      <c r="D778" s="153"/>
      <c r="E778" s="154"/>
      <c r="F778" s="85"/>
      <c r="G778" s="155"/>
      <c r="H778" s="156">
        <f t="shared" si="1"/>
        <v>362243.91</v>
      </c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</row>
    <row r="779">
      <c r="A779" s="150"/>
      <c r="B779" s="151"/>
      <c r="C779" s="152"/>
      <c r="D779" s="153"/>
      <c r="E779" s="154"/>
      <c r="F779" s="85"/>
      <c r="G779" s="155"/>
      <c r="H779" s="156">
        <f t="shared" si="1"/>
        <v>362243.91</v>
      </c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</row>
    <row r="780">
      <c r="A780" s="150"/>
      <c r="B780" s="151"/>
      <c r="C780" s="152"/>
      <c r="D780" s="153"/>
      <c r="E780" s="154"/>
      <c r="F780" s="85"/>
      <c r="G780" s="155"/>
      <c r="H780" s="156">
        <f t="shared" si="1"/>
        <v>362243.91</v>
      </c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</row>
    <row r="781">
      <c r="A781" s="150"/>
      <c r="B781" s="151"/>
      <c r="C781" s="152"/>
      <c r="D781" s="153"/>
      <c r="E781" s="154"/>
      <c r="F781" s="85"/>
      <c r="G781" s="155"/>
      <c r="H781" s="156">
        <f t="shared" si="1"/>
        <v>362243.91</v>
      </c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</row>
    <row r="782">
      <c r="A782" s="150"/>
      <c r="B782" s="151"/>
      <c r="C782" s="152"/>
      <c r="D782" s="153"/>
      <c r="E782" s="154"/>
      <c r="F782" s="85"/>
      <c r="G782" s="155"/>
      <c r="H782" s="156">
        <f t="shared" si="1"/>
        <v>362243.91</v>
      </c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</row>
    <row r="783">
      <c r="A783" s="150"/>
      <c r="B783" s="151"/>
      <c r="C783" s="152"/>
      <c r="D783" s="153"/>
      <c r="E783" s="154"/>
      <c r="F783" s="85"/>
      <c r="G783" s="155"/>
      <c r="H783" s="156">
        <f t="shared" si="1"/>
        <v>362243.91</v>
      </c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</row>
    <row r="784">
      <c r="A784" s="150"/>
      <c r="B784" s="151"/>
      <c r="C784" s="152"/>
      <c r="D784" s="153"/>
      <c r="E784" s="154"/>
      <c r="F784" s="85"/>
      <c r="G784" s="155"/>
      <c r="H784" s="156">
        <f t="shared" si="1"/>
        <v>362243.91</v>
      </c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</row>
    <row r="785">
      <c r="A785" s="150"/>
      <c r="B785" s="151"/>
      <c r="C785" s="152"/>
      <c r="D785" s="153"/>
      <c r="E785" s="154"/>
      <c r="F785" s="85"/>
      <c r="G785" s="155"/>
      <c r="H785" s="156">
        <f t="shared" si="1"/>
        <v>362243.91</v>
      </c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</row>
    <row r="786">
      <c r="A786" s="150"/>
      <c r="B786" s="151"/>
      <c r="C786" s="152"/>
      <c r="D786" s="153"/>
      <c r="E786" s="154"/>
      <c r="F786" s="85"/>
      <c r="G786" s="155"/>
      <c r="H786" s="156">
        <f t="shared" si="1"/>
        <v>362243.91</v>
      </c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</row>
    <row r="787">
      <c r="A787" s="150"/>
      <c r="B787" s="151"/>
      <c r="C787" s="152"/>
      <c r="D787" s="153"/>
      <c r="E787" s="154"/>
      <c r="F787" s="85"/>
      <c r="G787" s="155"/>
      <c r="H787" s="156">
        <f t="shared" si="1"/>
        <v>362243.91</v>
      </c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</row>
    <row r="788">
      <c r="A788" s="150"/>
      <c r="B788" s="151"/>
      <c r="C788" s="152"/>
      <c r="D788" s="153"/>
      <c r="E788" s="154"/>
      <c r="F788" s="85"/>
      <c r="G788" s="155"/>
      <c r="H788" s="156">
        <f t="shared" si="1"/>
        <v>362243.91</v>
      </c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</row>
    <row r="789">
      <c r="A789" s="150"/>
      <c r="B789" s="151"/>
      <c r="C789" s="152"/>
      <c r="D789" s="153"/>
      <c r="E789" s="154"/>
      <c r="F789" s="85"/>
      <c r="G789" s="155"/>
      <c r="H789" s="156">
        <f t="shared" si="1"/>
        <v>362243.91</v>
      </c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</row>
    <row r="790">
      <c r="A790" s="150"/>
      <c r="B790" s="151"/>
      <c r="C790" s="152"/>
      <c r="D790" s="153"/>
      <c r="E790" s="154"/>
      <c r="F790" s="85"/>
      <c r="G790" s="155"/>
      <c r="H790" s="156">
        <f t="shared" si="1"/>
        <v>362243.91</v>
      </c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</row>
    <row r="791">
      <c r="A791" s="150"/>
      <c r="B791" s="151"/>
      <c r="C791" s="152"/>
      <c r="D791" s="153"/>
      <c r="E791" s="154"/>
      <c r="F791" s="85"/>
      <c r="G791" s="155"/>
      <c r="H791" s="156">
        <f t="shared" si="1"/>
        <v>362243.91</v>
      </c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</row>
    <row r="792">
      <c r="A792" s="150"/>
      <c r="B792" s="151"/>
      <c r="C792" s="152"/>
      <c r="D792" s="153"/>
      <c r="E792" s="154"/>
      <c r="F792" s="85"/>
      <c r="G792" s="155"/>
      <c r="H792" s="156">
        <f t="shared" si="1"/>
        <v>362243.91</v>
      </c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</row>
    <row r="793">
      <c r="A793" s="150"/>
      <c r="B793" s="151"/>
      <c r="C793" s="152"/>
      <c r="D793" s="153"/>
      <c r="E793" s="154"/>
      <c r="F793" s="85"/>
      <c r="G793" s="155"/>
      <c r="H793" s="156">
        <f t="shared" si="1"/>
        <v>362243.91</v>
      </c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</row>
    <row r="794">
      <c r="A794" s="150"/>
      <c r="B794" s="151"/>
      <c r="C794" s="152"/>
      <c r="D794" s="153"/>
      <c r="E794" s="154"/>
      <c r="F794" s="85"/>
      <c r="G794" s="155"/>
      <c r="H794" s="156">
        <f t="shared" si="1"/>
        <v>362243.91</v>
      </c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</row>
    <row r="795">
      <c r="A795" s="150"/>
      <c r="B795" s="151"/>
      <c r="C795" s="152"/>
      <c r="D795" s="153"/>
      <c r="E795" s="154"/>
      <c r="F795" s="85"/>
      <c r="G795" s="155"/>
      <c r="H795" s="156">
        <f t="shared" si="1"/>
        <v>362243.91</v>
      </c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</row>
    <row r="796">
      <c r="A796" s="150"/>
      <c r="B796" s="151"/>
      <c r="C796" s="152"/>
      <c r="D796" s="153"/>
      <c r="E796" s="154"/>
      <c r="F796" s="85"/>
      <c r="G796" s="155"/>
      <c r="H796" s="156">
        <f t="shared" si="1"/>
        <v>362243.91</v>
      </c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</row>
    <row r="797">
      <c r="A797" s="150"/>
      <c r="B797" s="151"/>
      <c r="C797" s="152"/>
      <c r="D797" s="153"/>
      <c r="E797" s="154"/>
      <c r="F797" s="85"/>
      <c r="G797" s="155"/>
      <c r="H797" s="156">
        <f t="shared" si="1"/>
        <v>362243.91</v>
      </c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</row>
    <row r="798">
      <c r="A798" s="150"/>
      <c r="B798" s="151"/>
      <c r="C798" s="152"/>
      <c r="D798" s="153"/>
      <c r="E798" s="154"/>
      <c r="F798" s="85"/>
      <c r="G798" s="155"/>
      <c r="H798" s="156">
        <f t="shared" si="1"/>
        <v>362243.91</v>
      </c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</row>
    <row r="799">
      <c r="A799" s="150"/>
      <c r="B799" s="151"/>
      <c r="C799" s="152"/>
      <c r="D799" s="153"/>
      <c r="E799" s="154"/>
      <c r="F799" s="85"/>
      <c r="G799" s="155"/>
      <c r="H799" s="156">
        <f t="shared" si="1"/>
        <v>362243.91</v>
      </c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</row>
    <row r="800">
      <c r="A800" s="150"/>
      <c r="B800" s="151"/>
      <c r="C800" s="152"/>
      <c r="D800" s="153"/>
      <c r="E800" s="154"/>
      <c r="F800" s="85"/>
      <c r="G800" s="155"/>
      <c r="H800" s="156">
        <f t="shared" si="1"/>
        <v>362243.91</v>
      </c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</row>
    <row r="801">
      <c r="A801" s="150"/>
      <c r="B801" s="151"/>
      <c r="C801" s="152"/>
      <c r="D801" s="153"/>
      <c r="E801" s="154"/>
      <c r="F801" s="85"/>
      <c r="G801" s="155"/>
      <c r="H801" s="156">
        <f t="shared" si="1"/>
        <v>362243.91</v>
      </c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</row>
    <row r="802">
      <c r="A802" s="150"/>
      <c r="B802" s="151"/>
      <c r="C802" s="152"/>
      <c r="D802" s="153"/>
      <c r="E802" s="154"/>
      <c r="F802" s="85"/>
      <c r="G802" s="155"/>
      <c r="H802" s="156">
        <f t="shared" si="1"/>
        <v>362243.91</v>
      </c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</row>
    <row r="803">
      <c r="A803" s="150"/>
      <c r="B803" s="151"/>
      <c r="C803" s="152"/>
      <c r="D803" s="153"/>
      <c r="E803" s="154"/>
      <c r="F803" s="85"/>
      <c r="G803" s="155"/>
      <c r="H803" s="156">
        <f t="shared" si="1"/>
        <v>362243.91</v>
      </c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</row>
    <row r="804">
      <c r="A804" s="150"/>
      <c r="B804" s="151"/>
      <c r="C804" s="152"/>
      <c r="D804" s="153"/>
      <c r="E804" s="154"/>
      <c r="F804" s="85"/>
      <c r="G804" s="155"/>
      <c r="H804" s="156">
        <f t="shared" si="1"/>
        <v>362243.91</v>
      </c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</row>
    <row r="805">
      <c r="A805" s="150"/>
      <c r="B805" s="151"/>
      <c r="C805" s="152"/>
      <c r="D805" s="153"/>
      <c r="E805" s="154"/>
      <c r="F805" s="85"/>
      <c r="G805" s="155"/>
      <c r="H805" s="156">
        <f t="shared" si="1"/>
        <v>362243.91</v>
      </c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</row>
    <row r="806">
      <c r="A806" s="150"/>
      <c r="B806" s="151"/>
      <c r="C806" s="152"/>
      <c r="D806" s="153"/>
      <c r="E806" s="154"/>
      <c r="F806" s="85"/>
      <c r="G806" s="155"/>
      <c r="H806" s="156">
        <f t="shared" si="1"/>
        <v>362243.91</v>
      </c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</row>
    <row r="807">
      <c r="A807" s="150"/>
      <c r="B807" s="151"/>
      <c r="C807" s="152"/>
      <c r="D807" s="153"/>
      <c r="E807" s="154"/>
      <c r="F807" s="85"/>
      <c r="G807" s="155"/>
      <c r="H807" s="156">
        <f t="shared" si="1"/>
        <v>362243.91</v>
      </c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</row>
    <row r="808">
      <c r="A808" s="150"/>
      <c r="B808" s="151"/>
      <c r="C808" s="152"/>
      <c r="D808" s="153"/>
      <c r="E808" s="154"/>
      <c r="F808" s="85"/>
      <c r="G808" s="155"/>
      <c r="H808" s="156">
        <f t="shared" si="1"/>
        <v>362243.91</v>
      </c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</row>
    <row r="809">
      <c r="A809" s="150"/>
      <c r="B809" s="151"/>
      <c r="C809" s="152"/>
      <c r="D809" s="153"/>
      <c r="E809" s="154"/>
      <c r="F809" s="85"/>
      <c r="G809" s="155"/>
      <c r="H809" s="156">
        <f t="shared" si="1"/>
        <v>362243.91</v>
      </c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</row>
    <row r="810">
      <c r="A810" s="150"/>
      <c r="B810" s="151"/>
      <c r="C810" s="152"/>
      <c r="D810" s="153"/>
      <c r="E810" s="154"/>
      <c r="F810" s="85"/>
      <c r="G810" s="155"/>
      <c r="H810" s="156">
        <f t="shared" si="1"/>
        <v>362243.91</v>
      </c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</row>
    <row r="811">
      <c r="A811" s="150"/>
      <c r="B811" s="151"/>
      <c r="C811" s="152"/>
      <c r="D811" s="153"/>
      <c r="E811" s="154"/>
      <c r="F811" s="85"/>
      <c r="G811" s="155"/>
      <c r="H811" s="156">
        <f t="shared" si="1"/>
        <v>362243.91</v>
      </c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</row>
    <row r="812">
      <c r="A812" s="150"/>
      <c r="B812" s="151"/>
      <c r="C812" s="152"/>
      <c r="D812" s="153"/>
      <c r="E812" s="154"/>
      <c r="F812" s="85"/>
      <c r="G812" s="155"/>
      <c r="H812" s="156">
        <f t="shared" si="1"/>
        <v>362243.91</v>
      </c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</row>
    <row r="813">
      <c r="A813" s="150"/>
      <c r="B813" s="151"/>
      <c r="C813" s="152"/>
      <c r="D813" s="153"/>
      <c r="E813" s="154"/>
      <c r="F813" s="85"/>
      <c r="G813" s="155"/>
      <c r="H813" s="156">
        <f t="shared" si="1"/>
        <v>362243.91</v>
      </c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</row>
    <row r="814">
      <c r="A814" s="150"/>
      <c r="B814" s="151"/>
      <c r="C814" s="152"/>
      <c r="D814" s="153"/>
      <c r="E814" s="154"/>
      <c r="F814" s="85"/>
      <c r="G814" s="155"/>
      <c r="H814" s="156">
        <f t="shared" si="1"/>
        <v>362243.91</v>
      </c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</row>
    <row r="815">
      <c r="A815" s="150"/>
      <c r="B815" s="151"/>
      <c r="C815" s="152"/>
      <c r="D815" s="153"/>
      <c r="E815" s="154"/>
      <c r="F815" s="85"/>
      <c r="G815" s="155"/>
      <c r="H815" s="156">
        <f t="shared" si="1"/>
        <v>362243.91</v>
      </c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</row>
    <row r="816">
      <c r="A816" s="150"/>
      <c r="B816" s="151"/>
      <c r="C816" s="152"/>
      <c r="D816" s="153"/>
      <c r="E816" s="154"/>
      <c r="F816" s="85"/>
      <c r="G816" s="155"/>
      <c r="H816" s="156">
        <f t="shared" si="1"/>
        <v>362243.91</v>
      </c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</row>
    <row r="817">
      <c r="A817" s="150"/>
      <c r="B817" s="151"/>
      <c r="C817" s="152"/>
      <c r="D817" s="153"/>
      <c r="E817" s="154"/>
      <c r="F817" s="85"/>
      <c r="G817" s="155"/>
      <c r="H817" s="156">
        <f t="shared" si="1"/>
        <v>362243.91</v>
      </c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</row>
    <row r="818">
      <c r="A818" s="150"/>
      <c r="B818" s="151"/>
      <c r="C818" s="152"/>
      <c r="D818" s="153"/>
      <c r="E818" s="154"/>
      <c r="F818" s="85"/>
      <c r="G818" s="155"/>
      <c r="H818" s="156">
        <f t="shared" si="1"/>
        <v>362243.91</v>
      </c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</row>
    <row r="819">
      <c r="A819" s="150"/>
      <c r="B819" s="151"/>
      <c r="C819" s="152"/>
      <c r="D819" s="153"/>
      <c r="E819" s="154"/>
      <c r="F819" s="85"/>
      <c r="G819" s="155"/>
      <c r="H819" s="156">
        <f t="shared" si="1"/>
        <v>362243.91</v>
      </c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</row>
    <row r="820">
      <c r="A820" s="150"/>
      <c r="B820" s="151"/>
      <c r="C820" s="152"/>
      <c r="D820" s="153"/>
      <c r="E820" s="154"/>
      <c r="F820" s="85"/>
      <c r="G820" s="155"/>
      <c r="H820" s="156">
        <f t="shared" si="1"/>
        <v>362243.91</v>
      </c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</row>
    <row r="821">
      <c r="A821" s="150"/>
      <c r="B821" s="151"/>
      <c r="C821" s="152"/>
      <c r="D821" s="153"/>
      <c r="E821" s="154"/>
      <c r="F821" s="85"/>
      <c r="G821" s="155"/>
      <c r="H821" s="156">
        <f t="shared" si="1"/>
        <v>362243.91</v>
      </c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</row>
    <row r="822">
      <c r="A822" s="150"/>
      <c r="B822" s="151"/>
      <c r="C822" s="152"/>
      <c r="D822" s="153"/>
      <c r="E822" s="154"/>
      <c r="F822" s="85"/>
      <c r="G822" s="155"/>
      <c r="H822" s="156">
        <f t="shared" si="1"/>
        <v>362243.91</v>
      </c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</row>
    <row r="823">
      <c r="A823" s="150"/>
      <c r="B823" s="151"/>
      <c r="C823" s="152"/>
      <c r="D823" s="153"/>
      <c r="E823" s="154"/>
      <c r="F823" s="85"/>
      <c r="G823" s="155"/>
      <c r="H823" s="156">
        <f t="shared" si="1"/>
        <v>362243.91</v>
      </c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</row>
    <row r="824">
      <c r="A824" s="150"/>
      <c r="B824" s="151"/>
      <c r="C824" s="152"/>
      <c r="D824" s="153"/>
      <c r="E824" s="154"/>
      <c r="F824" s="85"/>
      <c r="G824" s="155"/>
      <c r="H824" s="156">
        <f t="shared" si="1"/>
        <v>362243.91</v>
      </c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</row>
    <row r="825">
      <c r="A825" s="150"/>
      <c r="B825" s="151"/>
      <c r="C825" s="152"/>
      <c r="D825" s="153"/>
      <c r="E825" s="154"/>
      <c r="F825" s="85"/>
      <c r="G825" s="155"/>
      <c r="H825" s="156">
        <f t="shared" si="1"/>
        <v>362243.91</v>
      </c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</row>
    <row r="826">
      <c r="A826" s="150"/>
      <c r="B826" s="151"/>
      <c r="C826" s="152"/>
      <c r="D826" s="153"/>
      <c r="E826" s="154"/>
      <c r="F826" s="85"/>
      <c r="G826" s="155"/>
      <c r="H826" s="156">
        <f t="shared" si="1"/>
        <v>362243.91</v>
      </c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</row>
    <row r="827">
      <c r="A827" s="150"/>
      <c r="B827" s="151"/>
      <c r="C827" s="152"/>
      <c r="D827" s="153"/>
      <c r="E827" s="154"/>
      <c r="F827" s="85"/>
      <c r="G827" s="155"/>
      <c r="H827" s="156">
        <f t="shared" si="1"/>
        <v>362243.91</v>
      </c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</row>
    <row r="828">
      <c r="A828" s="150"/>
      <c r="B828" s="151"/>
      <c r="C828" s="152"/>
      <c r="D828" s="153"/>
      <c r="E828" s="154"/>
      <c r="F828" s="85"/>
      <c r="G828" s="155"/>
      <c r="H828" s="156">
        <f t="shared" si="1"/>
        <v>362243.91</v>
      </c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</row>
    <row r="829">
      <c r="A829" s="150"/>
      <c r="B829" s="151"/>
      <c r="C829" s="152"/>
      <c r="D829" s="153"/>
      <c r="E829" s="154"/>
      <c r="F829" s="85"/>
      <c r="G829" s="155"/>
      <c r="H829" s="156">
        <f t="shared" si="1"/>
        <v>362243.91</v>
      </c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</row>
    <row r="830">
      <c r="A830" s="150"/>
      <c r="B830" s="151"/>
      <c r="C830" s="152"/>
      <c r="D830" s="153"/>
      <c r="E830" s="154"/>
      <c r="F830" s="85"/>
      <c r="G830" s="155"/>
      <c r="H830" s="156">
        <f t="shared" si="1"/>
        <v>362243.91</v>
      </c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</row>
    <row r="831">
      <c r="A831" s="150"/>
      <c r="B831" s="151"/>
      <c r="C831" s="152"/>
      <c r="D831" s="153"/>
      <c r="E831" s="154"/>
      <c r="F831" s="85"/>
      <c r="G831" s="155"/>
      <c r="H831" s="156">
        <f t="shared" si="1"/>
        <v>362243.91</v>
      </c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</row>
    <row r="832">
      <c r="A832" s="150"/>
      <c r="B832" s="151"/>
      <c r="C832" s="152"/>
      <c r="D832" s="153"/>
      <c r="E832" s="154"/>
      <c r="F832" s="85"/>
      <c r="G832" s="155"/>
      <c r="H832" s="156">
        <f t="shared" si="1"/>
        <v>362243.91</v>
      </c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</row>
    <row r="833">
      <c r="A833" s="150"/>
      <c r="B833" s="151"/>
      <c r="C833" s="152"/>
      <c r="D833" s="153"/>
      <c r="E833" s="154"/>
      <c r="F833" s="85"/>
      <c r="G833" s="155"/>
      <c r="H833" s="156">
        <f t="shared" si="1"/>
        <v>362243.91</v>
      </c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</row>
    <row r="834">
      <c r="A834" s="150"/>
      <c r="B834" s="151"/>
      <c r="C834" s="152"/>
      <c r="D834" s="153"/>
      <c r="E834" s="154"/>
      <c r="F834" s="85"/>
      <c r="G834" s="155"/>
      <c r="H834" s="156">
        <f t="shared" si="1"/>
        <v>362243.91</v>
      </c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</row>
    <row r="835">
      <c r="A835" s="150"/>
      <c r="B835" s="151"/>
      <c r="C835" s="152"/>
      <c r="D835" s="153"/>
      <c r="E835" s="154"/>
      <c r="F835" s="85"/>
      <c r="G835" s="155"/>
      <c r="H835" s="156">
        <f t="shared" si="1"/>
        <v>362243.91</v>
      </c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</row>
    <row r="836">
      <c r="A836" s="150"/>
      <c r="B836" s="151"/>
      <c r="C836" s="152"/>
      <c r="D836" s="153"/>
      <c r="E836" s="154"/>
      <c r="F836" s="85"/>
      <c r="G836" s="155"/>
      <c r="H836" s="156">
        <f t="shared" si="1"/>
        <v>362243.91</v>
      </c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</row>
    <row r="837">
      <c r="A837" s="150"/>
      <c r="B837" s="151"/>
      <c r="C837" s="152"/>
      <c r="D837" s="153"/>
      <c r="E837" s="154"/>
      <c r="F837" s="85"/>
      <c r="G837" s="155"/>
      <c r="H837" s="156">
        <f t="shared" si="1"/>
        <v>362243.91</v>
      </c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</row>
    <row r="838">
      <c r="A838" s="150"/>
      <c r="B838" s="151"/>
      <c r="C838" s="152"/>
      <c r="D838" s="153"/>
      <c r="E838" s="154"/>
      <c r="F838" s="85"/>
      <c r="G838" s="155"/>
      <c r="H838" s="156">
        <f t="shared" si="1"/>
        <v>362243.91</v>
      </c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</row>
    <row r="839">
      <c r="A839" s="150"/>
      <c r="B839" s="151"/>
      <c r="C839" s="152"/>
      <c r="D839" s="153"/>
      <c r="E839" s="154"/>
      <c r="F839" s="85"/>
      <c r="G839" s="155"/>
      <c r="H839" s="156">
        <f t="shared" si="1"/>
        <v>362243.91</v>
      </c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</row>
    <row r="840">
      <c r="A840" s="150"/>
      <c r="B840" s="151"/>
      <c r="C840" s="152"/>
      <c r="D840" s="153"/>
      <c r="E840" s="154"/>
      <c r="F840" s="85"/>
      <c r="G840" s="155"/>
      <c r="H840" s="156">
        <f t="shared" si="1"/>
        <v>362243.91</v>
      </c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</row>
    <row r="841">
      <c r="A841" s="150"/>
      <c r="B841" s="151"/>
      <c r="C841" s="152"/>
      <c r="D841" s="153"/>
      <c r="E841" s="154"/>
      <c r="F841" s="85"/>
      <c r="G841" s="155"/>
      <c r="H841" s="156">
        <f t="shared" si="1"/>
        <v>362243.91</v>
      </c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</row>
    <row r="842">
      <c r="A842" s="150"/>
      <c r="B842" s="151"/>
      <c r="C842" s="152"/>
      <c r="D842" s="153"/>
      <c r="E842" s="154"/>
      <c r="F842" s="85"/>
      <c r="G842" s="155"/>
      <c r="H842" s="156">
        <f t="shared" si="1"/>
        <v>362243.91</v>
      </c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</row>
    <row r="843">
      <c r="A843" s="150"/>
      <c r="B843" s="151"/>
      <c r="C843" s="152"/>
      <c r="D843" s="153"/>
      <c r="E843" s="154"/>
      <c r="F843" s="85"/>
      <c r="G843" s="155"/>
      <c r="H843" s="156">
        <f t="shared" si="1"/>
        <v>362243.91</v>
      </c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</row>
    <row r="844">
      <c r="A844" s="150"/>
      <c r="B844" s="151"/>
      <c r="C844" s="152"/>
      <c r="D844" s="153"/>
      <c r="E844" s="154"/>
      <c r="F844" s="85"/>
      <c r="G844" s="155"/>
      <c r="H844" s="156">
        <f t="shared" si="1"/>
        <v>362243.91</v>
      </c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</row>
    <row r="845">
      <c r="A845" s="150"/>
      <c r="B845" s="151"/>
      <c r="C845" s="152"/>
      <c r="D845" s="153"/>
      <c r="E845" s="154"/>
      <c r="F845" s="85"/>
      <c r="G845" s="155"/>
      <c r="H845" s="156">
        <f t="shared" si="1"/>
        <v>362243.91</v>
      </c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</row>
    <row r="846">
      <c r="A846" s="150"/>
      <c r="B846" s="151"/>
      <c r="C846" s="152"/>
      <c r="D846" s="153"/>
      <c r="E846" s="154"/>
      <c r="F846" s="85"/>
      <c r="G846" s="155"/>
      <c r="H846" s="156">
        <f t="shared" si="1"/>
        <v>362243.91</v>
      </c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</row>
    <row r="847">
      <c r="A847" s="150"/>
      <c r="B847" s="151"/>
      <c r="C847" s="152"/>
      <c r="D847" s="153"/>
      <c r="E847" s="154"/>
      <c r="F847" s="85"/>
      <c r="G847" s="155"/>
      <c r="H847" s="156">
        <f t="shared" si="1"/>
        <v>362243.91</v>
      </c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</row>
    <row r="848">
      <c r="A848" s="150"/>
      <c r="B848" s="151"/>
      <c r="C848" s="152"/>
      <c r="D848" s="153"/>
      <c r="E848" s="154"/>
      <c r="F848" s="85"/>
      <c r="G848" s="155"/>
      <c r="H848" s="156">
        <f t="shared" si="1"/>
        <v>362243.91</v>
      </c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</row>
    <row r="849">
      <c r="A849" s="150"/>
      <c r="B849" s="151"/>
      <c r="C849" s="152"/>
      <c r="D849" s="153"/>
      <c r="E849" s="154"/>
      <c r="F849" s="85"/>
      <c r="G849" s="155"/>
      <c r="H849" s="156">
        <f t="shared" si="1"/>
        <v>362243.91</v>
      </c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</row>
    <row r="850">
      <c r="A850" s="150"/>
      <c r="B850" s="151"/>
      <c r="C850" s="152"/>
      <c r="D850" s="153"/>
      <c r="E850" s="154"/>
      <c r="F850" s="85"/>
      <c r="G850" s="155"/>
      <c r="H850" s="156">
        <f t="shared" si="1"/>
        <v>362243.91</v>
      </c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</row>
    <row r="851">
      <c r="A851" s="150"/>
      <c r="B851" s="151"/>
      <c r="C851" s="152"/>
      <c r="D851" s="153"/>
      <c r="E851" s="154"/>
      <c r="F851" s="85"/>
      <c r="G851" s="155"/>
      <c r="H851" s="156">
        <f t="shared" si="1"/>
        <v>362243.91</v>
      </c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</row>
    <row r="852">
      <c r="A852" s="150"/>
      <c r="B852" s="151"/>
      <c r="C852" s="152"/>
      <c r="D852" s="153"/>
      <c r="E852" s="154"/>
      <c r="F852" s="85"/>
      <c r="G852" s="155"/>
      <c r="H852" s="156">
        <f t="shared" si="1"/>
        <v>362243.91</v>
      </c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</row>
    <row r="853">
      <c r="A853" s="150"/>
      <c r="B853" s="151"/>
      <c r="C853" s="152"/>
      <c r="D853" s="153"/>
      <c r="E853" s="154"/>
      <c r="F853" s="85"/>
      <c r="G853" s="155"/>
      <c r="H853" s="156">
        <f t="shared" si="1"/>
        <v>362243.91</v>
      </c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</row>
    <row r="854">
      <c r="A854" s="150"/>
      <c r="B854" s="151"/>
      <c r="C854" s="152"/>
      <c r="D854" s="153"/>
      <c r="E854" s="154"/>
      <c r="F854" s="85"/>
      <c r="G854" s="155"/>
      <c r="H854" s="156">
        <f t="shared" si="1"/>
        <v>362243.91</v>
      </c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</row>
    <row r="855">
      <c r="A855" s="150"/>
      <c r="B855" s="151"/>
      <c r="C855" s="152"/>
      <c r="D855" s="153"/>
      <c r="E855" s="154"/>
      <c r="F855" s="85"/>
      <c r="G855" s="155"/>
      <c r="H855" s="156">
        <f t="shared" si="1"/>
        <v>362243.91</v>
      </c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</row>
    <row r="856">
      <c r="A856" s="150"/>
      <c r="B856" s="151"/>
      <c r="C856" s="152"/>
      <c r="D856" s="153"/>
      <c r="E856" s="154"/>
      <c r="F856" s="85"/>
      <c r="G856" s="155"/>
      <c r="H856" s="156">
        <f t="shared" si="1"/>
        <v>362243.91</v>
      </c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</row>
    <row r="857">
      <c r="A857" s="150"/>
      <c r="B857" s="151"/>
      <c r="C857" s="152"/>
      <c r="D857" s="153"/>
      <c r="E857" s="154"/>
      <c r="F857" s="85"/>
      <c r="G857" s="155"/>
      <c r="H857" s="156">
        <f t="shared" si="1"/>
        <v>362243.91</v>
      </c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</row>
    <row r="858">
      <c r="A858" s="150"/>
      <c r="B858" s="151"/>
      <c r="C858" s="152"/>
      <c r="D858" s="153"/>
      <c r="E858" s="154"/>
      <c r="F858" s="85"/>
      <c r="G858" s="155"/>
      <c r="H858" s="156">
        <f t="shared" si="1"/>
        <v>362243.91</v>
      </c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</row>
    <row r="859">
      <c r="A859" s="150"/>
      <c r="B859" s="151"/>
      <c r="C859" s="152"/>
      <c r="D859" s="153"/>
      <c r="E859" s="154"/>
      <c r="F859" s="85"/>
      <c r="G859" s="155"/>
      <c r="H859" s="156">
        <f t="shared" si="1"/>
        <v>362243.91</v>
      </c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</row>
    <row r="860">
      <c r="A860" s="150"/>
      <c r="B860" s="151"/>
      <c r="C860" s="152"/>
      <c r="D860" s="153"/>
      <c r="E860" s="154"/>
      <c r="F860" s="85"/>
      <c r="G860" s="155"/>
      <c r="H860" s="156">
        <f t="shared" si="1"/>
        <v>362243.91</v>
      </c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</row>
    <row r="861">
      <c r="A861" s="150"/>
      <c r="B861" s="151"/>
      <c r="C861" s="152"/>
      <c r="D861" s="153"/>
      <c r="E861" s="154"/>
      <c r="F861" s="85"/>
      <c r="G861" s="155"/>
      <c r="H861" s="156">
        <f t="shared" si="1"/>
        <v>362243.91</v>
      </c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</row>
    <row r="862">
      <c r="A862" s="150"/>
      <c r="B862" s="151"/>
      <c r="C862" s="152"/>
      <c r="D862" s="153"/>
      <c r="E862" s="154"/>
      <c r="F862" s="85"/>
      <c r="G862" s="155"/>
      <c r="H862" s="156">
        <f t="shared" si="1"/>
        <v>362243.91</v>
      </c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</row>
    <row r="863">
      <c r="A863" s="150"/>
      <c r="B863" s="151"/>
      <c r="C863" s="152"/>
      <c r="D863" s="153"/>
      <c r="E863" s="154"/>
      <c r="F863" s="85"/>
      <c r="G863" s="155"/>
      <c r="H863" s="156">
        <f t="shared" si="1"/>
        <v>362243.91</v>
      </c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</row>
    <row r="864">
      <c r="A864" s="150"/>
      <c r="B864" s="151"/>
      <c r="C864" s="152"/>
      <c r="D864" s="153"/>
      <c r="E864" s="154"/>
      <c r="F864" s="85"/>
      <c r="G864" s="155"/>
      <c r="H864" s="156">
        <f t="shared" si="1"/>
        <v>362243.91</v>
      </c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</row>
    <row r="865">
      <c r="A865" s="150"/>
      <c r="B865" s="151"/>
      <c r="C865" s="152"/>
      <c r="D865" s="153"/>
      <c r="E865" s="154"/>
      <c r="F865" s="85"/>
      <c r="G865" s="155"/>
      <c r="H865" s="156">
        <f t="shared" si="1"/>
        <v>362243.91</v>
      </c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</row>
    <row r="866">
      <c r="A866" s="150"/>
      <c r="B866" s="151"/>
      <c r="C866" s="152"/>
      <c r="D866" s="153"/>
      <c r="E866" s="154"/>
      <c r="F866" s="85"/>
      <c r="G866" s="155"/>
      <c r="H866" s="156">
        <f t="shared" si="1"/>
        <v>362243.91</v>
      </c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</row>
    <row r="867">
      <c r="A867" s="150"/>
      <c r="B867" s="151"/>
      <c r="C867" s="152"/>
      <c r="D867" s="153"/>
      <c r="E867" s="154"/>
      <c r="F867" s="85"/>
      <c r="G867" s="155"/>
      <c r="H867" s="156">
        <f t="shared" si="1"/>
        <v>362243.91</v>
      </c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</row>
    <row r="868">
      <c r="A868" s="150"/>
      <c r="B868" s="151"/>
      <c r="C868" s="152"/>
      <c r="D868" s="153"/>
      <c r="E868" s="154"/>
      <c r="F868" s="85"/>
      <c r="G868" s="155"/>
      <c r="H868" s="156">
        <f t="shared" si="1"/>
        <v>362243.91</v>
      </c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</row>
    <row r="869">
      <c r="A869" s="150"/>
      <c r="B869" s="151"/>
      <c r="C869" s="152"/>
      <c r="D869" s="153"/>
      <c r="E869" s="154"/>
      <c r="F869" s="85"/>
      <c r="G869" s="155"/>
      <c r="H869" s="156">
        <f t="shared" si="1"/>
        <v>362243.91</v>
      </c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</row>
    <row r="870">
      <c r="A870" s="150"/>
      <c r="B870" s="151"/>
      <c r="C870" s="152"/>
      <c r="D870" s="153"/>
      <c r="E870" s="154"/>
      <c r="F870" s="85"/>
      <c r="G870" s="155"/>
      <c r="H870" s="156">
        <f t="shared" si="1"/>
        <v>362243.91</v>
      </c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</row>
    <row r="871">
      <c r="A871" s="150"/>
      <c r="B871" s="151"/>
      <c r="C871" s="152"/>
      <c r="D871" s="153"/>
      <c r="E871" s="154"/>
      <c r="F871" s="85"/>
      <c r="G871" s="155"/>
      <c r="H871" s="156">
        <f t="shared" si="1"/>
        <v>362243.91</v>
      </c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</row>
    <row r="872">
      <c r="A872" s="150"/>
      <c r="B872" s="151"/>
      <c r="C872" s="152"/>
      <c r="D872" s="153"/>
      <c r="E872" s="154"/>
      <c r="F872" s="85"/>
      <c r="G872" s="155"/>
      <c r="H872" s="156">
        <f t="shared" si="1"/>
        <v>362243.91</v>
      </c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</row>
    <row r="873">
      <c r="A873" s="150"/>
      <c r="B873" s="151"/>
      <c r="C873" s="152"/>
      <c r="D873" s="153"/>
      <c r="E873" s="154"/>
      <c r="F873" s="85"/>
      <c r="G873" s="155"/>
      <c r="H873" s="156">
        <f t="shared" si="1"/>
        <v>362243.91</v>
      </c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</row>
    <row r="874">
      <c r="A874" s="150"/>
      <c r="B874" s="151"/>
      <c r="C874" s="152"/>
      <c r="D874" s="153"/>
      <c r="E874" s="154"/>
      <c r="F874" s="85"/>
      <c r="G874" s="155"/>
      <c r="H874" s="156">
        <f t="shared" si="1"/>
        <v>362243.91</v>
      </c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</row>
    <row r="875">
      <c r="A875" s="150"/>
      <c r="B875" s="151"/>
      <c r="C875" s="152"/>
      <c r="D875" s="153"/>
      <c r="E875" s="154"/>
      <c r="F875" s="85"/>
      <c r="G875" s="155"/>
      <c r="H875" s="156">
        <f t="shared" si="1"/>
        <v>362243.91</v>
      </c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</row>
    <row r="876">
      <c r="A876" s="150"/>
      <c r="B876" s="151"/>
      <c r="C876" s="152"/>
      <c r="D876" s="153"/>
      <c r="E876" s="154"/>
      <c r="F876" s="85"/>
      <c r="G876" s="155"/>
      <c r="H876" s="156">
        <f t="shared" si="1"/>
        <v>362243.91</v>
      </c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</row>
    <row r="877">
      <c r="A877" s="150"/>
      <c r="B877" s="151"/>
      <c r="C877" s="152"/>
      <c r="D877" s="153"/>
      <c r="E877" s="154"/>
      <c r="F877" s="85"/>
      <c r="G877" s="155"/>
      <c r="H877" s="156">
        <f t="shared" si="1"/>
        <v>362243.91</v>
      </c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</row>
    <row r="878">
      <c r="A878" s="150"/>
      <c r="B878" s="151"/>
      <c r="C878" s="152"/>
      <c r="D878" s="153"/>
      <c r="E878" s="154"/>
      <c r="F878" s="85"/>
      <c r="G878" s="155"/>
      <c r="H878" s="156">
        <f t="shared" si="1"/>
        <v>362243.91</v>
      </c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</row>
    <row r="879">
      <c r="A879" s="150"/>
      <c r="B879" s="151"/>
      <c r="C879" s="152"/>
      <c r="D879" s="153"/>
      <c r="E879" s="154"/>
      <c r="F879" s="85"/>
      <c r="G879" s="155"/>
      <c r="H879" s="156">
        <f t="shared" si="1"/>
        <v>362243.91</v>
      </c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</row>
    <row r="880">
      <c r="A880" s="150"/>
      <c r="B880" s="151"/>
      <c r="C880" s="152"/>
      <c r="D880" s="153"/>
      <c r="E880" s="154"/>
      <c r="F880" s="85"/>
      <c r="G880" s="155"/>
      <c r="H880" s="156">
        <f t="shared" si="1"/>
        <v>362243.91</v>
      </c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</row>
    <row r="881">
      <c r="A881" s="150"/>
      <c r="B881" s="151"/>
      <c r="C881" s="152"/>
      <c r="D881" s="153"/>
      <c r="E881" s="154"/>
      <c r="F881" s="85"/>
      <c r="G881" s="155"/>
      <c r="H881" s="156">
        <f t="shared" si="1"/>
        <v>362243.91</v>
      </c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</row>
    <row r="882">
      <c r="A882" s="150"/>
      <c r="B882" s="151"/>
      <c r="C882" s="152"/>
      <c r="D882" s="153"/>
      <c r="E882" s="154"/>
      <c r="F882" s="85"/>
      <c r="G882" s="155"/>
      <c r="H882" s="156">
        <f t="shared" si="1"/>
        <v>362243.91</v>
      </c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</row>
    <row r="883">
      <c r="A883" s="150"/>
      <c r="B883" s="151"/>
      <c r="C883" s="152"/>
      <c r="D883" s="153"/>
      <c r="E883" s="154"/>
      <c r="F883" s="85"/>
      <c r="G883" s="155"/>
      <c r="H883" s="156">
        <f t="shared" si="1"/>
        <v>362243.91</v>
      </c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</row>
    <row r="884">
      <c r="A884" s="150"/>
      <c r="B884" s="151"/>
      <c r="C884" s="152"/>
      <c r="D884" s="153"/>
      <c r="E884" s="154"/>
      <c r="F884" s="85"/>
      <c r="G884" s="155"/>
      <c r="H884" s="156">
        <f t="shared" si="1"/>
        <v>362243.91</v>
      </c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</row>
    <row r="885">
      <c r="A885" s="150"/>
      <c r="B885" s="151"/>
      <c r="C885" s="152"/>
      <c r="D885" s="153"/>
      <c r="E885" s="154"/>
      <c r="F885" s="85"/>
      <c r="G885" s="155"/>
      <c r="H885" s="156">
        <f t="shared" si="1"/>
        <v>362243.91</v>
      </c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</row>
    <row r="886">
      <c r="A886" s="150"/>
      <c r="B886" s="151"/>
      <c r="C886" s="152"/>
      <c r="D886" s="153"/>
      <c r="E886" s="154"/>
      <c r="F886" s="85"/>
      <c r="G886" s="155"/>
      <c r="H886" s="156">
        <f t="shared" si="1"/>
        <v>362243.91</v>
      </c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</row>
    <row r="887">
      <c r="A887" s="150"/>
      <c r="B887" s="151"/>
      <c r="C887" s="152"/>
      <c r="D887" s="153"/>
      <c r="E887" s="154"/>
      <c r="F887" s="85"/>
      <c r="G887" s="155"/>
      <c r="H887" s="156">
        <f t="shared" si="1"/>
        <v>362243.91</v>
      </c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</row>
    <row r="888">
      <c r="A888" s="150"/>
      <c r="B888" s="151"/>
      <c r="C888" s="152"/>
      <c r="D888" s="153"/>
      <c r="E888" s="154"/>
      <c r="F888" s="85"/>
      <c r="G888" s="155"/>
      <c r="H888" s="156">
        <f t="shared" si="1"/>
        <v>362243.91</v>
      </c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</row>
    <row r="889">
      <c r="A889" s="150"/>
      <c r="B889" s="151"/>
      <c r="C889" s="152"/>
      <c r="D889" s="153"/>
      <c r="E889" s="154"/>
      <c r="F889" s="85"/>
      <c r="G889" s="155"/>
      <c r="H889" s="156">
        <f t="shared" si="1"/>
        <v>362243.91</v>
      </c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</row>
    <row r="890">
      <c r="A890" s="150"/>
      <c r="B890" s="151"/>
      <c r="C890" s="152"/>
      <c r="D890" s="153"/>
      <c r="E890" s="154"/>
      <c r="F890" s="85"/>
      <c r="G890" s="155"/>
      <c r="H890" s="156">
        <f t="shared" si="1"/>
        <v>362243.91</v>
      </c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</row>
    <row r="891">
      <c r="A891" s="150"/>
      <c r="B891" s="151"/>
      <c r="C891" s="152"/>
      <c r="D891" s="153"/>
      <c r="E891" s="154"/>
      <c r="F891" s="85"/>
      <c r="G891" s="155"/>
      <c r="H891" s="156">
        <f t="shared" si="1"/>
        <v>362243.91</v>
      </c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</row>
    <row r="892">
      <c r="A892" s="150"/>
      <c r="B892" s="151"/>
      <c r="C892" s="152"/>
      <c r="D892" s="153"/>
      <c r="E892" s="154"/>
      <c r="F892" s="85"/>
      <c r="G892" s="155"/>
      <c r="H892" s="156">
        <f t="shared" si="1"/>
        <v>362243.91</v>
      </c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</row>
    <row r="893">
      <c r="A893" s="150"/>
      <c r="B893" s="151"/>
      <c r="C893" s="152"/>
      <c r="D893" s="153"/>
      <c r="E893" s="154"/>
      <c r="F893" s="85"/>
      <c r="G893" s="155"/>
      <c r="H893" s="156">
        <f t="shared" si="1"/>
        <v>362243.91</v>
      </c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</row>
    <row r="894">
      <c r="A894" s="150"/>
      <c r="B894" s="151"/>
      <c r="C894" s="152"/>
      <c r="D894" s="153"/>
      <c r="E894" s="154"/>
      <c r="F894" s="85"/>
      <c r="G894" s="155"/>
      <c r="H894" s="156">
        <f t="shared" si="1"/>
        <v>362243.91</v>
      </c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</row>
    <row r="895">
      <c r="A895" s="150"/>
      <c r="B895" s="151"/>
      <c r="C895" s="152"/>
      <c r="D895" s="153"/>
      <c r="E895" s="154"/>
      <c r="F895" s="85"/>
      <c r="G895" s="155"/>
      <c r="H895" s="156">
        <f t="shared" si="1"/>
        <v>362243.91</v>
      </c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</row>
    <row r="896">
      <c r="A896" s="150"/>
      <c r="B896" s="151"/>
      <c r="C896" s="152"/>
      <c r="D896" s="153"/>
      <c r="E896" s="154"/>
      <c r="F896" s="85"/>
      <c r="G896" s="155"/>
      <c r="H896" s="156">
        <f t="shared" si="1"/>
        <v>362243.91</v>
      </c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</row>
    <row r="897">
      <c r="A897" s="150"/>
      <c r="B897" s="151"/>
      <c r="C897" s="152"/>
      <c r="D897" s="153"/>
      <c r="E897" s="154"/>
      <c r="F897" s="85"/>
      <c r="G897" s="155"/>
      <c r="H897" s="156">
        <f t="shared" si="1"/>
        <v>362243.91</v>
      </c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</row>
    <row r="898">
      <c r="A898" s="150"/>
      <c r="B898" s="151"/>
      <c r="C898" s="152"/>
      <c r="D898" s="153"/>
      <c r="E898" s="154"/>
      <c r="F898" s="85"/>
      <c r="G898" s="155"/>
      <c r="H898" s="156">
        <f t="shared" si="1"/>
        <v>362243.91</v>
      </c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</row>
    <row r="899">
      <c r="A899" s="150"/>
      <c r="B899" s="151"/>
      <c r="C899" s="152"/>
      <c r="D899" s="153"/>
      <c r="E899" s="154"/>
      <c r="F899" s="85"/>
      <c r="G899" s="155"/>
      <c r="H899" s="156">
        <f t="shared" si="1"/>
        <v>362243.91</v>
      </c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</row>
    <row r="900">
      <c r="A900" s="150"/>
      <c r="B900" s="151"/>
      <c r="C900" s="152"/>
      <c r="D900" s="153"/>
      <c r="E900" s="154"/>
      <c r="F900" s="85"/>
      <c r="G900" s="155"/>
      <c r="H900" s="156">
        <f t="shared" si="1"/>
        <v>362243.91</v>
      </c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</row>
    <row r="901">
      <c r="A901" s="150"/>
      <c r="B901" s="151"/>
      <c r="C901" s="152"/>
      <c r="D901" s="153"/>
      <c r="E901" s="154"/>
      <c r="F901" s="85"/>
      <c r="G901" s="155"/>
      <c r="H901" s="156">
        <f t="shared" si="1"/>
        <v>362243.91</v>
      </c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</row>
    <row r="902">
      <c r="A902" s="150"/>
      <c r="B902" s="151"/>
      <c r="C902" s="152"/>
      <c r="D902" s="153"/>
      <c r="E902" s="154"/>
      <c r="F902" s="85"/>
      <c r="G902" s="155"/>
      <c r="H902" s="156">
        <f t="shared" si="1"/>
        <v>362243.91</v>
      </c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</row>
    <row r="903">
      <c r="A903" s="150"/>
      <c r="B903" s="151"/>
      <c r="C903" s="152"/>
      <c r="D903" s="153"/>
      <c r="E903" s="154"/>
      <c r="F903" s="85"/>
      <c r="G903" s="155"/>
      <c r="H903" s="156">
        <f t="shared" si="1"/>
        <v>362243.91</v>
      </c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</row>
    <row r="904">
      <c r="A904" s="150"/>
      <c r="B904" s="151"/>
      <c r="C904" s="152"/>
      <c r="D904" s="153"/>
      <c r="E904" s="154"/>
      <c r="F904" s="85"/>
      <c r="G904" s="155"/>
      <c r="H904" s="156">
        <f t="shared" si="1"/>
        <v>362243.91</v>
      </c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</row>
    <row r="905">
      <c r="A905" s="150"/>
      <c r="B905" s="151"/>
      <c r="C905" s="152"/>
      <c r="D905" s="153"/>
      <c r="E905" s="154"/>
      <c r="F905" s="85"/>
      <c r="G905" s="155"/>
      <c r="H905" s="156">
        <f t="shared" si="1"/>
        <v>362243.91</v>
      </c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</row>
    <row r="906">
      <c r="A906" s="150"/>
      <c r="B906" s="151"/>
      <c r="C906" s="152"/>
      <c r="D906" s="153"/>
      <c r="E906" s="154"/>
      <c r="F906" s="85"/>
      <c r="G906" s="155"/>
      <c r="H906" s="156">
        <f t="shared" si="1"/>
        <v>362243.91</v>
      </c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</row>
    <row r="907">
      <c r="A907" s="150"/>
      <c r="B907" s="151"/>
      <c r="C907" s="152"/>
      <c r="D907" s="153"/>
      <c r="E907" s="154"/>
      <c r="F907" s="85"/>
      <c r="G907" s="155"/>
      <c r="H907" s="156">
        <f t="shared" si="1"/>
        <v>362243.91</v>
      </c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</row>
    <row r="908">
      <c r="A908" s="150"/>
      <c r="B908" s="151"/>
      <c r="C908" s="152"/>
      <c r="D908" s="153"/>
      <c r="E908" s="154"/>
      <c r="F908" s="85"/>
      <c r="G908" s="155"/>
      <c r="H908" s="156">
        <f t="shared" si="1"/>
        <v>362243.91</v>
      </c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</row>
    <row r="909">
      <c r="A909" s="150"/>
      <c r="B909" s="151"/>
      <c r="C909" s="152"/>
      <c r="D909" s="153"/>
      <c r="E909" s="154"/>
      <c r="F909" s="85"/>
      <c r="G909" s="155"/>
      <c r="H909" s="156">
        <f t="shared" si="1"/>
        <v>362243.91</v>
      </c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</row>
    <row r="910">
      <c r="A910" s="150"/>
      <c r="B910" s="151"/>
      <c r="C910" s="152"/>
      <c r="D910" s="153"/>
      <c r="E910" s="154"/>
      <c r="F910" s="85"/>
      <c r="G910" s="155"/>
      <c r="H910" s="156">
        <f t="shared" si="1"/>
        <v>362243.91</v>
      </c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</row>
    <row r="911">
      <c r="A911" s="150"/>
      <c r="B911" s="151"/>
      <c r="C911" s="152"/>
      <c r="D911" s="153"/>
      <c r="E911" s="154"/>
      <c r="F911" s="85"/>
      <c r="G911" s="155"/>
      <c r="H911" s="156">
        <f t="shared" si="1"/>
        <v>362243.91</v>
      </c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</row>
    <row r="912">
      <c r="A912" s="150"/>
      <c r="B912" s="151"/>
      <c r="C912" s="152"/>
      <c r="D912" s="153"/>
      <c r="E912" s="154"/>
      <c r="F912" s="85"/>
      <c r="G912" s="155"/>
      <c r="H912" s="156">
        <f t="shared" si="1"/>
        <v>362243.91</v>
      </c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</row>
    <row r="913">
      <c r="A913" s="150"/>
      <c r="B913" s="151"/>
      <c r="C913" s="152"/>
      <c r="D913" s="153"/>
      <c r="E913" s="154"/>
      <c r="F913" s="85"/>
      <c r="G913" s="155"/>
      <c r="H913" s="156">
        <f t="shared" si="1"/>
        <v>362243.91</v>
      </c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</row>
    <row r="914">
      <c r="A914" s="150"/>
      <c r="B914" s="151"/>
      <c r="C914" s="152"/>
      <c r="D914" s="153"/>
      <c r="E914" s="154"/>
      <c r="F914" s="85"/>
      <c r="G914" s="155"/>
      <c r="H914" s="156">
        <f t="shared" si="1"/>
        <v>362243.91</v>
      </c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</row>
    <row r="915">
      <c r="A915" s="150"/>
      <c r="B915" s="151"/>
      <c r="C915" s="152"/>
      <c r="D915" s="153"/>
      <c r="E915" s="154"/>
      <c r="F915" s="85"/>
      <c r="G915" s="155"/>
      <c r="H915" s="156">
        <f t="shared" si="1"/>
        <v>362243.91</v>
      </c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</row>
    <row r="916">
      <c r="A916" s="150"/>
      <c r="B916" s="151"/>
      <c r="C916" s="152"/>
      <c r="D916" s="153"/>
      <c r="E916" s="154"/>
      <c r="F916" s="85"/>
      <c r="G916" s="155"/>
      <c r="H916" s="156">
        <f t="shared" si="1"/>
        <v>362243.91</v>
      </c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</row>
    <row r="917">
      <c r="A917" s="150"/>
      <c r="B917" s="151"/>
      <c r="C917" s="152"/>
      <c r="D917" s="153"/>
      <c r="E917" s="154"/>
      <c r="F917" s="85"/>
      <c r="G917" s="155"/>
      <c r="H917" s="156">
        <f t="shared" si="1"/>
        <v>362243.91</v>
      </c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</row>
    <row r="918">
      <c r="A918" s="150"/>
      <c r="B918" s="151"/>
      <c r="C918" s="152"/>
      <c r="D918" s="153"/>
      <c r="E918" s="154"/>
      <c r="F918" s="85"/>
      <c r="G918" s="155"/>
      <c r="H918" s="156">
        <f t="shared" si="1"/>
        <v>362243.91</v>
      </c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</row>
    <row r="919">
      <c r="A919" s="150"/>
      <c r="B919" s="151"/>
      <c r="C919" s="152"/>
      <c r="D919" s="153"/>
      <c r="E919" s="154"/>
      <c r="F919" s="85"/>
      <c r="G919" s="155"/>
      <c r="H919" s="156">
        <f t="shared" si="1"/>
        <v>362243.91</v>
      </c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</row>
    <row r="920">
      <c r="A920" s="150"/>
      <c r="B920" s="151"/>
      <c r="C920" s="152"/>
      <c r="D920" s="153"/>
      <c r="E920" s="154"/>
      <c r="F920" s="85"/>
      <c r="G920" s="155"/>
      <c r="H920" s="156">
        <f t="shared" si="1"/>
        <v>362243.91</v>
      </c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</row>
    <row r="921">
      <c r="A921" s="150"/>
      <c r="B921" s="151"/>
      <c r="C921" s="152"/>
      <c r="D921" s="153"/>
      <c r="E921" s="154"/>
      <c r="F921" s="85"/>
      <c r="G921" s="155"/>
      <c r="H921" s="156">
        <f t="shared" si="1"/>
        <v>362243.91</v>
      </c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</row>
    <row r="922">
      <c r="A922" s="150"/>
      <c r="B922" s="151"/>
      <c r="C922" s="152"/>
      <c r="D922" s="153"/>
      <c r="E922" s="154"/>
      <c r="F922" s="85"/>
      <c r="G922" s="155"/>
      <c r="H922" s="156">
        <f t="shared" si="1"/>
        <v>362243.91</v>
      </c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</row>
    <row r="923">
      <c r="A923" s="150"/>
      <c r="B923" s="151"/>
      <c r="C923" s="152"/>
      <c r="D923" s="153"/>
      <c r="E923" s="154"/>
      <c r="F923" s="85"/>
      <c r="G923" s="155"/>
      <c r="H923" s="156">
        <f t="shared" si="1"/>
        <v>362243.91</v>
      </c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</row>
    <row r="924">
      <c r="A924" s="150"/>
      <c r="B924" s="151"/>
      <c r="C924" s="152"/>
      <c r="D924" s="153"/>
      <c r="E924" s="154"/>
      <c r="F924" s="85"/>
      <c r="G924" s="155"/>
      <c r="H924" s="156">
        <f t="shared" si="1"/>
        <v>362243.91</v>
      </c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</row>
    <row r="925">
      <c r="A925" s="150"/>
      <c r="B925" s="151"/>
      <c r="C925" s="152"/>
      <c r="D925" s="153"/>
      <c r="E925" s="154"/>
      <c r="F925" s="85"/>
      <c r="G925" s="155"/>
      <c r="H925" s="156">
        <f t="shared" si="1"/>
        <v>362243.91</v>
      </c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</row>
    <row r="926">
      <c r="A926" s="150"/>
      <c r="B926" s="151"/>
      <c r="C926" s="152"/>
      <c r="D926" s="153"/>
      <c r="E926" s="154"/>
      <c r="F926" s="85"/>
      <c r="G926" s="155"/>
      <c r="H926" s="156">
        <f t="shared" si="1"/>
        <v>362243.91</v>
      </c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</row>
    <row r="927">
      <c r="A927" s="150"/>
      <c r="B927" s="151"/>
      <c r="C927" s="152"/>
      <c r="D927" s="153"/>
      <c r="E927" s="154"/>
      <c r="F927" s="85"/>
      <c r="G927" s="155"/>
      <c r="H927" s="156">
        <f t="shared" si="1"/>
        <v>362243.91</v>
      </c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</row>
    <row r="928">
      <c r="A928" s="150"/>
      <c r="B928" s="151"/>
      <c r="C928" s="152"/>
      <c r="D928" s="153"/>
      <c r="E928" s="154"/>
      <c r="F928" s="85"/>
      <c r="G928" s="155"/>
      <c r="H928" s="156">
        <f t="shared" si="1"/>
        <v>362243.91</v>
      </c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</row>
    <row r="929">
      <c r="A929" s="150"/>
      <c r="B929" s="151"/>
      <c r="C929" s="152"/>
      <c r="D929" s="153"/>
      <c r="E929" s="154"/>
      <c r="F929" s="85"/>
      <c r="G929" s="155"/>
      <c r="H929" s="156">
        <f t="shared" si="1"/>
        <v>362243.91</v>
      </c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</row>
    <row r="930">
      <c r="A930" s="150"/>
      <c r="B930" s="151"/>
      <c r="C930" s="152"/>
      <c r="D930" s="153"/>
      <c r="E930" s="154"/>
      <c r="F930" s="85"/>
      <c r="G930" s="155"/>
      <c r="H930" s="156">
        <f t="shared" si="1"/>
        <v>362243.91</v>
      </c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</row>
    <row r="931">
      <c r="A931" s="150"/>
      <c r="B931" s="151"/>
      <c r="C931" s="152"/>
      <c r="D931" s="153"/>
      <c r="E931" s="154"/>
      <c r="F931" s="85"/>
      <c r="G931" s="155"/>
      <c r="H931" s="156">
        <f t="shared" si="1"/>
        <v>362243.91</v>
      </c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</row>
    <row r="932">
      <c r="A932" s="150"/>
      <c r="B932" s="151"/>
      <c r="C932" s="152"/>
      <c r="D932" s="153"/>
      <c r="E932" s="154"/>
      <c r="F932" s="85"/>
      <c r="G932" s="155"/>
      <c r="H932" s="156">
        <f t="shared" si="1"/>
        <v>362243.91</v>
      </c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</row>
    <row r="933">
      <c r="A933" s="150"/>
      <c r="B933" s="151"/>
      <c r="C933" s="152"/>
      <c r="D933" s="153"/>
      <c r="E933" s="154"/>
      <c r="F933" s="85"/>
      <c r="G933" s="155"/>
      <c r="H933" s="156">
        <f t="shared" si="1"/>
        <v>362243.91</v>
      </c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</row>
    <row r="934">
      <c r="A934" s="150"/>
      <c r="B934" s="151"/>
      <c r="C934" s="152"/>
      <c r="D934" s="153"/>
      <c r="E934" s="154"/>
      <c r="F934" s="85"/>
      <c r="G934" s="155"/>
      <c r="H934" s="156">
        <f t="shared" si="1"/>
        <v>362243.91</v>
      </c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</row>
    <row r="935">
      <c r="A935" s="150"/>
      <c r="B935" s="151"/>
      <c r="C935" s="152"/>
      <c r="D935" s="153"/>
      <c r="E935" s="154"/>
      <c r="F935" s="85"/>
      <c r="G935" s="155"/>
      <c r="H935" s="156">
        <f t="shared" si="1"/>
        <v>362243.91</v>
      </c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</row>
    <row r="936">
      <c r="A936" s="150"/>
      <c r="B936" s="151"/>
      <c r="C936" s="152"/>
      <c r="D936" s="153"/>
      <c r="E936" s="154"/>
      <c r="F936" s="85"/>
      <c r="G936" s="155"/>
      <c r="H936" s="156">
        <f t="shared" si="1"/>
        <v>362243.91</v>
      </c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</row>
    <row r="937">
      <c r="A937" s="150"/>
      <c r="B937" s="151"/>
      <c r="C937" s="152"/>
      <c r="D937" s="153"/>
      <c r="E937" s="154"/>
      <c r="F937" s="85"/>
      <c r="G937" s="155"/>
      <c r="H937" s="156">
        <f t="shared" si="1"/>
        <v>362243.91</v>
      </c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</row>
    <row r="938">
      <c r="A938" s="150"/>
      <c r="B938" s="151"/>
      <c r="C938" s="152"/>
      <c r="D938" s="153"/>
      <c r="E938" s="154"/>
      <c r="F938" s="85"/>
      <c r="G938" s="155"/>
      <c r="H938" s="156">
        <f t="shared" si="1"/>
        <v>362243.91</v>
      </c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</row>
    <row r="939">
      <c r="A939" s="150"/>
      <c r="B939" s="151"/>
      <c r="C939" s="152"/>
      <c r="D939" s="153"/>
      <c r="E939" s="154"/>
      <c r="F939" s="85"/>
      <c r="G939" s="155"/>
      <c r="H939" s="156">
        <f t="shared" si="1"/>
        <v>362243.91</v>
      </c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</row>
    <row r="940">
      <c r="A940" s="150"/>
      <c r="B940" s="151"/>
      <c r="C940" s="152"/>
      <c r="D940" s="153"/>
      <c r="E940" s="154"/>
      <c r="F940" s="85"/>
      <c r="G940" s="155"/>
      <c r="H940" s="156">
        <f t="shared" si="1"/>
        <v>362243.91</v>
      </c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</row>
    <row r="941">
      <c r="A941" s="150"/>
      <c r="B941" s="151"/>
      <c r="C941" s="152"/>
      <c r="D941" s="153"/>
      <c r="E941" s="154"/>
      <c r="F941" s="85"/>
      <c r="G941" s="155"/>
      <c r="H941" s="156">
        <f t="shared" si="1"/>
        <v>362243.91</v>
      </c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</row>
    <row r="942">
      <c r="A942" s="150"/>
      <c r="B942" s="151"/>
      <c r="C942" s="152"/>
      <c r="D942" s="153"/>
      <c r="E942" s="154"/>
      <c r="F942" s="85"/>
      <c r="G942" s="155"/>
      <c r="H942" s="156">
        <f t="shared" si="1"/>
        <v>362243.91</v>
      </c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</row>
    <row r="943">
      <c r="A943" s="150"/>
      <c r="B943" s="151"/>
      <c r="C943" s="152"/>
      <c r="D943" s="153"/>
      <c r="E943" s="154"/>
      <c r="F943" s="85"/>
      <c r="G943" s="155"/>
      <c r="H943" s="156">
        <f t="shared" si="1"/>
        <v>362243.91</v>
      </c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</row>
    <row r="944">
      <c r="A944" s="150"/>
      <c r="B944" s="151"/>
      <c r="C944" s="152"/>
      <c r="D944" s="153"/>
      <c r="E944" s="154"/>
      <c r="F944" s="85"/>
      <c r="G944" s="155"/>
      <c r="H944" s="156">
        <f t="shared" si="1"/>
        <v>362243.91</v>
      </c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</row>
    <row r="945">
      <c r="A945" s="150"/>
      <c r="B945" s="151"/>
      <c r="C945" s="152"/>
      <c r="D945" s="153"/>
      <c r="E945" s="154"/>
      <c r="F945" s="85"/>
      <c r="G945" s="155"/>
      <c r="H945" s="156">
        <f t="shared" si="1"/>
        <v>362243.91</v>
      </c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</row>
    <row r="946">
      <c r="A946" s="150"/>
      <c r="B946" s="151"/>
      <c r="C946" s="152"/>
      <c r="D946" s="153"/>
      <c r="E946" s="154"/>
      <c r="F946" s="85"/>
      <c r="G946" s="155"/>
      <c r="H946" s="156">
        <f t="shared" si="1"/>
        <v>362243.91</v>
      </c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</row>
    <row r="947">
      <c r="A947" s="150"/>
      <c r="B947" s="151"/>
      <c r="C947" s="152"/>
      <c r="D947" s="153"/>
      <c r="E947" s="154"/>
      <c r="F947" s="85"/>
      <c r="G947" s="155"/>
      <c r="H947" s="156">
        <f t="shared" si="1"/>
        <v>362243.91</v>
      </c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</row>
    <row r="948">
      <c r="A948" s="150"/>
      <c r="B948" s="151"/>
      <c r="C948" s="152"/>
      <c r="D948" s="153"/>
      <c r="E948" s="154"/>
      <c r="F948" s="85"/>
      <c r="G948" s="155"/>
      <c r="H948" s="156">
        <f t="shared" si="1"/>
        <v>362243.91</v>
      </c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</row>
    <row r="949">
      <c r="A949" s="150"/>
      <c r="B949" s="151"/>
      <c r="C949" s="152"/>
      <c r="D949" s="153"/>
      <c r="E949" s="154"/>
      <c r="F949" s="85"/>
      <c r="G949" s="155"/>
      <c r="H949" s="156">
        <f t="shared" si="1"/>
        <v>362243.91</v>
      </c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</row>
    <row r="950">
      <c r="A950" s="150"/>
      <c r="B950" s="151"/>
      <c r="C950" s="152"/>
      <c r="D950" s="153"/>
      <c r="E950" s="154"/>
      <c r="F950" s="85"/>
      <c r="G950" s="155"/>
      <c r="H950" s="156">
        <f t="shared" si="1"/>
        <v>362243.91</v>
      </c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</row>
    <row r="951">
      <c r="A951" s="150"/>
      <c r="B951" s="151"/>
      <c r="C951" s="152"/>
      <c r="D951" s="153"/>
      <c r="E951" s="154"/>
      <c r="F951" s="85"/>
      <c r="G951" s="155"/>
      <c r="H951" s="156">
        <f t="shared" si="1"/>
        <v>362243.91</v>
      </c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</row>
    <row r="952">
      <c r="A952" s="150"/>
      <c r="B952" s="151"/>
      <c r="C952" s="152"/>
      <c r="D952" s="153"/>
      <c r="E952" s="154"/>
      <c r="F952" s="85"/>
      <c r="G952" s="155"/>
      <c r="H952" s="156">
        <f t="shared" si="1"/>
        <v>362243.91</v>
      </c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</row>
    <row r="953">
      <c r="A953" s="150"/>
      <c r="B953" s="151"/>
      <c r="C953" s="152"/>
      <c r="D953" s="153"/>
      <c r="E953" s="154"/>
      <c r="F953" s="85"/>
      <c r="G953" s="155"/>
      <c r="H953" s="156">
        <f t="shared" si="1"/>
        <v>362243.91</v>
      </c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</row>
    <row r="954">
      <c r="A954" s="150"/>
      <c r="B954" s="151"/>
      <c r="C954" s="152"/>
      <c r="D954" s="153"/>
      <c r="E954" s="154"/>
      <c r="F954" s="85"/>
      <c r="G954" s="155"/>
      <c r="H954" s="156">
        <f t="shared" si="1"/>
        <v>362243.91</v>
      </c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</row>
    <row r="955">
      <c r="A955" s="150"/>
      <c r="B955" s="151"/>
      <c r="C955" s="152"/>
      <c r="D955" s="153"/>
      <c r="E955" s="154"/>
      <c r="F955" s="85"/>
      <c r="G955" s="155"/>
      <c r="H955" s="156">
        <f t="shared" si="1"/>
        <v>362243.91</v>
      </c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</row>
    <row r="956">
      <c r="A956" s="150"/>
      <c r="B956" s="151"/>
      <c r="C956" s="152"/>
      <c r="D956" s="153"/>
      <c r="E956" s="154"/>
      <c r="F956" s="85"/>
      <c r="G956" s="155"/>
      <c r="H956" s="156">
        <f t="shared" si="1"/>
        <v>362243.91</v>
      </c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</row>
    <row r="957">
      <c r="A957" s="150"/>
      <c r="B957" s="151"/>
      <c r="C957" s="152"/>
      <c r="D957" s="153"/>
      <c r="E957" s="154"/>
      <c r="F957" s="85"/>
      <c r="G957" s="155"/>
      <c r="H957" s="156">
        <f t="shared" si="1"/>
        <v>362243.91</v>
      </c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</row>
    <row r="958">
      <c r="A958" s="150"/>
      <c r="B958" s="151"/>
      <c r="C958" s="152"/>
      <c r="D958" s="153"/>
      <c r="E958" s="154"/>
      <c r="F958" s="85"/>
      <c r="G958" s="155"/>
      <c r="H958" s="156">
        <f t="shared" si="1"/>
        <v>362243.91</v>
      </c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</row>
    <row r="959">
      <c r="A959" s="150"/>
      <c r="B959" s="151"/>
      <c r="C959" s="152"/>
      <c r="D959" s="153"/>
      <c r="E959" s="154"/>
      <c r="F959" s="85"/>
      <c r="G959" s="155"/>
      <c r="H959" s="156">
        <f t="shared" si="1"/>
        <v>362243.91</v>
      </c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</row>
    <row r="960">
      <c r="A960" s="150"/>
      <c r="B960" s="151"/>
      <c r="C960" s="152"/>
      <c r="D960" s="153"/>
      <c r="E960" s="154"/>
      <c r="F960" s="85"/>
      <c r="G960" s="155"/>
      <c r="H960" s="156">
        <f t="shared" si="1"/>
        <v>362243.91</v>
      </c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</row>
    <row r="961">
      <c r="A961" s="150"/>
      <c r="B961" s="151"/>
      <c r="C961" s="152"/>
      <c r="D961" s="153"/>
      <c r="E961" s="154"/>
      <c r="F961" s="85"/>
      <c r="G961" s="155"/>
      <c r="H961" s="156">
        <f t="shared" si="1"/>
        <v>362243.91</v>
      </c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</row>
    <row r="962">
      <c r="A962" s="150"/>
      <c r="B962" s="151"/>
      <c r="C962" s="152"/>
      <c r="D962" s="153"/>
      <c r="E962" s="154"/>
      <c r="F962" s="85"/>
      <c r="G962" s="155"/>
      <c r="H962" s="156">
        <f t="shared" si="1"/>
        <v>362243.91</v>
      </c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</row>
    <row r="963">
      <c r="A963" s="150"/>
      <c r="B963" s="151"/>
      <c r="C963" s="152"/>
      <c r="D963" s="153"/>
      <c r="E963" s="154"/>
      <c r="F963" s="85"/>
      <c r="G963" s="155"/>
      <c r="H963" s="156">
        <f t="shared" si="1"/>
        <v>362243.91</v>
      </c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</row>
    <row r="964">
      <c r="A964" s="150"/>
      <c r="B964" s="151"/>
      <c r="C964" s="152"/>
      <c r="D964" s="153"/>
      <c r="E964" s="154"/>
      <c r="F964" s="85"/>
      <c r="G964" s="155"/>
      <c r="H964" s="156">
        <f t="shared" si="1"/>
        <v>362243.91</v>
      </c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</row>
    <row r="965">
      <c r="A965" s="150"/>
      <c r="B965" s="151"/>
      <c r="C965" s="152"/>
      <c r="D965" s="153"/>
      <c r="E965" s="154"/>
      <c r="F965" s="85"/>
      <c r="G965" s="155"/>
      <c r="H965" s="156">
        <f t="shared" si="1"/>
        <v>362243.91</v>
      </c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</row>
    <row r="966">
      <c r="A966" s="150"/>
      <c r="B966" s="151"/>
      <c r="C966" s="152"/>
      <c r="D966" s="153"/>
      <c r="E966" s="154"/>
      <c r="F966" s="85"/>
      <c r="G966" s="155"/>
      <c r="H966" s="156">
        <f t="shared" si="1"/>
        <v>362243.91</v>
      </c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</row>
    <row r="967">
      <c r="A967" s="150"/>
      <c r="B967" s="151"/>
      <c r="C967" s="152"/>
      <c r="D967" s="153"/>
      <c r="E967" s="154"/>
      <c r="F967" s="85"/>
      <c r="G967" s="155"/>
      <c r="H967" s="156">
        <f t="shared" si="1"/>
        <v>362243.91</v>
      </c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</row>
    <row r="968">
      <c r="A968" s="150"/>
      <c r="B968" s="151"/>
      <c r="C968" s="152"/>
      <c r="D968" s="153"/>
      <c r="E968" s="154"/>
      <c r="F968" s="85"/>
      <c r="G968" s="155"/>
      <c r="H968" s="156">
        <f t="shared" si="1"/>
        <v>362243.91</v>
      </c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</row>
    <row r="969">
      <c r="A969" s="150"/>
      <c r="B969" s="151"/>
      <c r="C969" s="152"/>
      <c r="D969" s="153"/>
      <c r="E969" s="154"/>
      <c r="F969" s="85"/>
      <c r="G969" s="155"/>
      <c r="H969" s="156">
        <f t="shared" si="1"/>
        <v>362243.91</v>
      </c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</row>
    <row r="970">
      <c r="A970" s="150"/>
      <c r="B970" s="151"/>
      <c r="C970" s="152"/>
      <c r="D970" s="153"/>
      <c r="E970" s="154"/>
      <c r="F970" s="85"/>
      <c r="G970" s="155"/>
      <c r="H970" s="156">
        <f t="shared" si="1"/>
        <v>362243.91</v>
      </c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</row>
    <row r="971">
      <c r="A971" s="150"/>
      <c r="B971" s="151"/>
      <c r="C971" s="152"/>
      <c r="D971" s="153"/>
      <c r="E971" s="154"/>
      <c r="F971" s="85"/>
      <c r="G971" s="155"/>
      <c r="H971" s="156">
        <f t="shared" si="1"/>
        <v>362243.91</v>
      </c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</row>
    <row r="972">
      <c r="A972" s="150"/>
      <c r="B972" s="151"/>
      <c r="C972" s="152"/>
      <c r="D972" s="153"/>
      <c r="E972" s="154"/>
      <c r="F972" s="85"/>
      <c r="G972" s="155"/>
      <c r="H972" s="156">
        <f t="shared" si="1"/>
        <v>362243.91</v>
      </c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</row>
    <row r="973">
      <c r="A973" s="150"/>
      <c r="B973" s="151"/>
      <c r="C973" s="152"/>
      <c r="D973" s="153"/>
      <c r="E973" s="154"/>
      <c r="F973" s="85"/>
      <c r="G973" s="155"/>
      <c r="H973" s="156">
        <f t="shared" si="1"/>
        <v>362243.91</v>
      </c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</row>
    <row r="974">
      <c r="A974" s="150"/>
      <c r="B974" s="151"/>
      <c r="C974" s="152"/>
      <c r="D974" s="153"/>
      <c r="E974" s="154"/>
      <c r="F974" s="85"/>
      <c r="G974" s="155"/>
      <c r="H974" s="156">
        <f t="shared" si="1"/>
        <v>362243.91</v>
      </c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</row>
    <row r="975">
      <c r="A975" s="150"/>
      <c r="B975" s="151"/>
      <c r="C975" s="152"/>
      <c r="D975" s="153"/>
      <c r="E975" s="154"/>
      <c r="F975" s="85"/>
      <c r="G975" s="155"/>
      <c r="H975" s="156">
        <f t="shared" si="1"/>
        <v>362243.91</v>
      </c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</row>
    <row r="976">
      <c r="A976" s="150"/>
      <c r="B976" s="151"/>
      <c r="C976" s="152"/>
      <c r="D976" s="153"/>
      <c r="E976" s="154"/>
      <c r="F976" s="85"/>
      <c r="G976" s="155"/>
      <c r="H976" s="156">
        <f t="shared" si="1"/>
        <v>362243.91</v>
      </c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</row>
    <row r="977">
      <c r="A977" s="150"/>
      <c r="B977" s="151"/>
      <c r="C977" s="152"/>
      <c r="D977" s="153"/>
      <c r="E977" s="154"/>
      <c r="F977" s="85"/>
      <c r="G977" s="155"/>
      <c r="H977" s="156">
        <f t="shared" si="1"/>
        <v>362243.91</v>
      </c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</row>
    <row r="978">
      <c r="A978" s="150"/>
      <c r="B978" s="151"/>
      <c r="C978" s="152"/>
      <c r="D978" s="153"/>
      <c r="E978" s="154"/>
      <c r="F978" s="85"/>
      <c r="G978" s="155"/>
      <c r="H978" s="156">
        <f t="shared" si="1"/>
        <v>362243.91</v>
      </c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</row>
    <row r="979">
      <c r="A979" s="150"/>
      <c r="B979" s="151"/>
      <c r="C979" s="152"/>
      <c r="D979" s="153"/>
      <c r="E979" s="154"/>
      <c r="F979" s="85"/>
      <c r="G979" s="155"/>
      <c r="H979" s="156">
        <f t="shared" si="1"/>
        <v>362243.91</v>
      </c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</row>
    <row r="980">
      <c r="A980" s="150"/>
      <c r="B980" s="151"/>
      <c r="C980" s="152"/>
      <c r="D980" s="153"/>
      <c r="E980" s="154"/>
      <c r="F980" s="85"/>
      <c r="G980" s="155"/>
      <c r="H980" s="156">
        <f t="shared" si="1"/>
        <v>362243.91</v>
      </c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</row>
    <row r="981">
      <c r="A981" s="150"/>
      <c r="B981" s="151"/>
      <c r="C981" s="152"/>
      <c r="D981" s="153"/>
      <c r="E981" s="154"/>
      <c r="F981" s="85"/>
      <c r="G981" s="155"/>
      <c r="H981" s="156">
        <f t="shared" si="1"/>
        <v>362243.91</v>
      </c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</row>
    <row r="982">
      <c r="A982" s="150"/>
      <c r="B982" s="151"/>
      <c r="C982" s="152"/>
      <c r="D982" s="153"/>
      <c r="E982" s="154"/>
      <c r="F982" s="85"/>
      <c r="G982" s="155"/>
      <c r="H982" s="156">
        <f t="shared" si="1"/>
        <v>362243.91</v>
      </c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</row>
    <row r="983">
      <c r="A983" s="150"/>
      <c r="B983" s="151"/>
      <c r="C983" s="152"/>
      <c r="D983" s="153"/>
      <c r="E983" s="154"/>
      <c r="F983" s="85"/>
      <c r="G983" s="155"/>
      <c r="H983" s="156">
        <f t="shared" si="1"/>
        <v>362243.91</v>
      </c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</row>
    <row r="984">
      <c r="A984" s="150"/>
      <c r="B984" s="151"/>
      <c r="C984" s="152"/>
      <c r="D984" s="153"/>
      <c r="E984" s="154"/>
      <c r="F984" s="85"/>
      <c r="G984" s="155"/>
      <c r="H984" s="156">
        <f t="shared" si="1"/>
        <v>362243.91</v>
      </c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</row>
    <row r="985">
      <c r="A985" s="150"/>
      <c r="B985" s="151"/>
      <c r="C985" s="152"/>
      <c r="D985" s="153"/>
      <c r="E985" s="154"/>
      <c r="F985" s="85"/>
      <c r="G985" s="155"/>
      <c r="H985" s="156">
        <f t="shared" si="1"/>
        <v>362243.91</v>
      </c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</row>
    <row r="986">
      <c r="A986" s="150"/>
      <c r="B986" s="151"/>
      <c r="C986" s="152"/>
      <c r="D986" s="153"/>
      <c r="E986" s="154"/>
      <c r="F986" s="85"/>
      <c r="G986" s="155"/>
      <c r="H986" s="156">
        <f t="shared" si="1"/>
        <v>362243.91</v>
      </c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</row>
    <row r="987">
      <c r="A987" s="150"/>
      <c r="B987" s="151"/>
      <c r="C987" s="152"/>
      <c r="D987" s="153"/>
      <c r="E987" s="154"/>
      <c r="F987" s="85"/>
      <c r="G987" s="155"/>
      <c r="H987" s="156">
        <f t="shared" si="1"/>
        <v>362243.91</v>
      </c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</row>
    <row r="988">
      <c r="A988" s="150"/>
      <c r="B988" s="151"/>
      <c r="C988" s="152"/>
      <c r="D988" s="153"/>
      <c r="E988" s="154"/>
      <c r="F988" s="85"/>
      <c r="G988" s="155"/>
      <c r="H988" s="156">
        <f t="shared" si="1"/>
        <v>362243.91</v>
      </c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</row>
    <row r="989">
      <c r="A989" s="150"/>
      <c r="B989" s="151"/>
      <c r="C989" s="152"/>
      <c r="D989" s="153"/>
      <c r="E989" s="154"/>
      <c r="F989" s="85"/>
      <c r="G989" s="155"/>
      <c r="H989" s="156">
        <f t="shared" si="1"/>
        <v>362243.91</v>
      </c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</row>
    <row r="990">
      <c r="A990" s="150"/>
      <c r="B990" s="151"/>
      <c r="C990" s="152"/>
      <c r="D990" s="153"/>
      <c r="E990" s="154"/>
      <c r="F990" s="85"/>
      <c r="G990" s="155"/>
      <c r="H990" s="156">
        <f t="shared" si="1"/>
        <v>362243.91</v>
      </c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</row>
    <row r="991">
      <c r="A991" s="150"/>
      <c r="B991" s="151"/>
      <c r="C991" s="152"/>
      <c r="D991" s="153"/>
      <c r="E991" s="154"/>
      <c r="F991" s="85"/>
      <c r="G991" s="155"/>
      <c r="H991" s="156">
        <f t="shared" si="1"/>
        <v>362243.91</v>
      </c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</row>
    <row r="992">
      <c r="A992" s="150"/>
      <c r="B992" s="151"/>
      <c r="C992" s="152"/>
      <c r="D992" s="153"/>
      <c r="E992" s="154"/>
      <c r="F992" s="85"/>
      <c r="G992" s="155"/>
      <c r="H992" s="156">
        <f t="shared" si="1"/>
        <v>362243.91</v>
      </c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</row>
    <row r="993">
      <c r="A993" s="150"/>
      <c r="B993" s="151"/>
      <c r="C993" s="152"/>
      <c r="D993" s="153"/>
      <c r="E993" s="154"/>
      <c r="F993" s="85"/>
      <c r="G993" s="155"/>
      <c r="H993" s="156">
        <f t="shared" si="1"/>
        <v>362243.91</v>
      </c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</row>
    <row r="994">
      <c r="A994" s="150"/>
      <c r="B994" s="151"/>
      <c r="C994" s="152"/>
      <c r="D994" s="153"/>
      <c r="E994" s="154"/>
      <c r="F994" s="85"/>
      <c r="G994" s="155"/>
      <c r="H994" s="156">
        <f t="shared" si="1"/>
        <v>362243.91</v>
      </c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</row>
    <row r="995">
      <c r="A995" s="150"/>
      <c r="B995" s="151"/>
      <c r="C995" s="152"/>
      <c r="D995" s="153"/>
      <c r="E995" s="154"/>
      <c r="F995" s="85"/>
      <c r="G995" s="155"/>
      <c r="H995" s="156">
        <f t="shared" si="1"/>
        <v>362243.91</v>
      </c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</row>
    <row r="996">
      <c r="A996" s="150"/>
      <c r="B996" s="151"/>
      <c r="C996" s="152"/>
      <c r="D996" s="153"/>
      <c r="E996" s="154"/>
      <c r="F996" s="85"/>
      <c r="G996" s="155"/>
      <c r="H996" s="156">
        <f t="shared" si="1"/>
        <v>362243.91</v>
      </c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</row>
    <row r="997">
      <c r="A997" s="150"/>
      <c r="B997" s="151"/>
      <c r="C997" s="152"/>
      <c r="D997" s="153"/>
      <c r="E997" s="154"/>
      <c r="F997" s="85"/>
      <c r="G997" s="155"/>
      <c r="H997" s="156">
        <f t="shared" si="1"/>
        <v>362243.91</v>
      </c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</row>
    <row r="998">
      <c r="A998" s="150"/>
      <c r="B998" s="151"/>
      <c r="C998" s="152"/>
      <c r="D998" s="153"/>
      <c r="E998" s="154"/>
      <c r="F998" s="85"/>
      <c r="G998" s="155"/>
      <c r="H998" s="156">
        <f t="shared" si="1"/>
        <v>362243.91</v>
      </c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</row>
    <row r="999">
      <c r="A999" s="150"/>
      <c r="B999" s="151"/>
      <c r="C999" s="152"/>
      <c r="D999" s="153"/>
      <c r="E999" s="154"/>
      <c r="F999" s="85"/>
      <c r="G999" s="155"/>
      <c r="H999" s="156">
        <f t="shared" si="1"/>
        <v>362243.91</v>
      </c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</row>
    <row r="1000">
      <c r="A1000" s="150"/>
      <c r="B1000" s="151"/>
      <c r="C1000" s="152"/>
      <c r="D1000" s="153"/>
      <c r="E1000" s="154"/>
      <c r="F1000" s="85"/>
      <c r="G1000" s="155"/>
      <c r="H1000" s="156">
        <f t="shared" si="1"/>
        <v>362243.91</v>
      </c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</row>
    <row r="1001">
      <c r="A1001" s="150"/>
      <c r="B1001" s="151"/>
      <c r="C1001" s="152"/>
      <c r="D1001" s="153"/>
      <c r="E1001" s="154"/>
      <c r="F1001" s="85"/>
      <c r="G1001" s="155"/>
      <c r="H1001" s="156">
        <f t="shared" si="1"/>
        <v>362243.91</v>
      </c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</row>
    <row r="1002">
      <c r="A1002" s="150"/>
      <c r="B1002" s="151"/>
      <c r="C1002" s="152"/>
      <c r="D1002" s="153"/>
      <c r="E1002" s="154"/>
      <c r="F1002" s="85"/>
      <c r="G1002" s="155"/>
      <c r="H1002" s="156">
        <f t="shared" si="1"/>
        <v>362243.91</v>
      </c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</row>
    <row r="1003">
      <c r="A1003" s="150"/>
      <c r="B1003" s="151"/>
      <c r="C1003" s="152"/>
      <c r="D1003" s="153"/>
      <c r="E1003" s="154"/>
      <c r="F1003" s="85"/>
      <c r="G1003" s="155"/>
      <c r="H1003" s="156">
        <f t="shared" si="1"/>
        <v>362243.91</v>
      </c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</row>
    <row r="1004">
      <c r="A1004" s="150"/>
      <c r="B1004" s="151"/>
      <c r="C1004" s="152"/>
      <c r="D1004" s="153"/>
      <c r="E1004" s="154"/>
      <c r="F1004" s="85"/>
      <c r="G1004" s="155"/>
      <c r="H1004" s="156">
        <f t="shared" si="1"/>
        <v>362243.91</v>
      </c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</row>
    <row r="1005">
      <c r="A1005" s="150"/>
      <c r="B1005" s="151"/>
      <c r="C1005" s="152"/>
      <c r="D1005" s="153"/>
      <c r="E1005" s="154"/>
      <c r="F1005" s="85"/>
      <c r="G1005" s="155"/>
      <c r="H1005" s="156">
        <f t="shared" si="1"/>
        <v>362243.91</v>
      </c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</row>
    <row r="1006">
      <c r="A1006" s="150"/>
      <c r="B1006" s="151"/>
      <c r="C1006" s="152"/>
      <c r="D1006" s="153"/>
      <c r="E1006" s="154"/>
      <c r="F1006" s="85"/>
      <c r="G1006" s="155"/>
      <c r="H1006" s="156">
        <f t="shared" si="1"/>
        <v>362243.91</v>
      </c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</row>
    <row r="1007">
      <c r="A1007" s="150"/>
      <c r="B1007" s="151"/>
      <c r="C1007" s="152"/>
      <c r="D1007" s="153"/>
      <c r="E1007" s="154"/>
      <c r="F1007" s="85"/>
      <c r="G1007" s="155"/>
      <c r="H1007" s="156">
        <f t="shared" si="1"/>
        <v>362243.91</v>
      </c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</row>
    <row r="1008">
      <c r="A1008" s="150"/>
      <c r="B1008" s="151"/>
      <c r="C1008" s="152"/>
      <c r="D1008" s="153"/>
      <c r="E1008" s="154"/>
      <c r="F1008" s="85"/>
      <c r="G1008" s="155"/>
      <c r="H1008" s="156">
        <f t="shared" si="1"/>
        <v>362243.91</v>
      </c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</row>
    <row r="1009">
      <c r="A1009" s="150"/>
      <c r="B1009" s="151"/>
      <c r="C1009" s="152"/>
      <c r="D1009" s="153"/>
      <c r="E1009" s="154"/>
      <c r="F1009" s="85"/>
      <c r="G1009" s="155"/>
      <c r="H1009" s="156">
        <f t="shared" si="1"/>
        <v>362243.91</v>
      </c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</row>
    <row r="1010">
      <c r="A1010" s="150"/>
      <c r="B1010" s="151"/>
      <c r="C1010" s="152"/>
      <c r="D1010" s="153"/>
      <c r="E1010" s="154"/>
      <c r="F1010" s="85"/>
      <c r="G1010" s="155"/>
      <c r="H1010" s="156">
        <f t="shared" si="1"/>
        <v>362243.91</v>
      </c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</row>
    <row r="1011">
      <c r="A1011" s="150"/>
      <c r="B1011" s="151"/>
      <c r="C1011" s="152"/>
      <c r="D1011" s="153"/>
      <c r="E1011" s="154"/>
      <c r="F1011" s="85"/>
      <c r="G1011" s="155"/>
      <c r="H1011" s="156">
        <f t="shared" si="1"/>
        <v>362243.91</v>
      </c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</row>
    <row r="1012">
      <c r="A1012" s="150"/>
      <c r="B1012" s="151"/>
      <c r="C1012" s="152"/>
      <c r="D1012" s="153"/>
      <c r="E1012" s="154"/>
      <c r="F1012" s="85"/>
      <c r="G1012" s="155"/>
      <c r="H1012" s="156">
        <f t="shared" si="1"/>
        <v>362243.91</v>
      </c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</row>
    <row r="1013">
      <c r="A1013" s="150"/>
      <c r="B1013" s="151"/>
      <c r="C1013" s="152"/>
      <c r="D1013" s="153"/>
      <c r="E1013" s="154"/>
      <c r="F1013" s="85"/>
      <c r="G1013" s="155"/>
      <c r="H1013" s="156">
        <f t="shared" si="1"/>
        <v>362243.91</v>
      </c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</row>
    <row r="1014">
      <c r="A1014" s="150"/>
      <c r="B1014" s="151"/>
      <c r="C1014" s="152"/>
      <c r="D1014" s="153"/>
      <c r="E1014" s="154"/>
      <c r="F1014" s="85"/>
      <c r="G1014" s="155"/>
      <c r="H1014" s="156">
        <f t="shared" si="1"/>
        <v>362243.91</v>
      </c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</row>
    <row r="1015">
      <c r="A1015" s="150"/>
      <c r="B1015" s="151"/>
      <c r="C1015" s="152"/>
      <c r="D1015" s="153"/>
      <c r="E1015" s="154"/>
      <c r="F1015" s="85"/>
      <c r="G1015" s="155"/>
      <c r="H1015" s="156">
        <f t="shared" si="1"/>
        <v>362243.91</v>
      </c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</row>
    <row r="1016">
      <c r="A1016" s="150"/>
      <c r="B1016" s="151"/>
      <c r="C1016" s="152"/>
      <c r="D1016" s="153"/>
      <c r="E1016" s="154"/>
      <c r="F1016" s="85"/>
      <c r="G1016" s="155"/>
      <c r="H1016" s="156">
        <f t="shared" si="1"/>
        <v>362243.91</v>
      </c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</row>
    <row r="1017">
      <c r="A1017" s="150"/>
      <c r="B1017" s="151"/>
      <c r="C1017" s="152"/>
      <c r="D1017" s="153"/>
      <c r="E1017" s="154"/>
      <c r="F1017" s="85"/>
      <c r="G1017" s="155"/>
      <c r="H1017" s="156">
        <f t="shared" si="1"/>
        <v>362243.91</v>
      </c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</row>
    <row r="1018">
      <c r="A1018" s="150"/>
      <c r="B1018" s="151"/>
      <c r="C1018" s="152"/>
      <c r="D1018" s="153"/>
      <c r="E1018" s="154"/>
      <c r="F1018" s="85"/>
      <c r="G1018" s="155"/>
      <c r="H1018" s="156">
        <f t="shared" si="1"/>
        <v>362243.91</v>
      </c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</row>
    <row r="1019">
      <c r="A1019" s="150"/>
      <c r="B1019" s="151"/>
      <c r="C1019" s="152"/>
      <c r="D1019" s="153"/>
      <c r="E1019" s="154"/>
      <c r="F1019" s="85"/>
      <c r="G1019" s="155"/>
      <c r="H1019" s="156">
        <f t="shared" si="1"/>
        <v>362243.91</v>
      </c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</row>
    <row r="1020">
      <c r="A1020" s="150"/>
      <c r="B1020" s="151"/>
      <c r="C1020" s="152"/>
      <c r="D1020" s="153"/>
      <c r="E1020" s="154"/>
      <c r="F1020" s="85"/>
      <c r="G1020" s="155"/>
      <c r="H1020" s="156">
        <f t="shared" si="1"/>
        <v>362243.91</v>
      </c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</row>
    <row r="1021">
      <c r="A1021" s="150"/>
      <c r="B1021" s="151"/>
      <c r="C1021" s="152"/>
      <c r="D1021" s="153"/>
      <c r="E1021" s="154"/>
      <c r="F1021" s="85"/>
      <c r="G1021" s="155"/>
      <c r="H1021" s="156">
        <f t="shared" si="1"/>
        <v>362243.91</v>
      </c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</row>
    <row r="1022">
      <c r="A1022" s="150"/>
      <c r="B1022" s="151"/>
      <c r="C1022" s="152"/>
      <c r="D1022" s="153"/>
      <c r="E1022" s="154"/>
      <c r="F1022" s="85"/>
      <c r="G1022" s="155"/>
      <c r="H1022" s="156">
        <f t="shared" si="1"/>
        <v>362243.91</v>
      </c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</row>
    <row r="1023">
      <c r="A1023" s="150"/>
      <c r="B1023" s="151"/>
      <c r="C1023" s="152"/>
      <c r="D1023" s="153"/>
      <c r="E1023" s="154"/>
      <c r="F1023" s="85"/>
      <c r="G1023" s="155"/>
      <c r="H1023" s="156">
        <f t="shared" si="1"/>
        <v>362243.91</v>
      </c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</row>
    <row r="1024">
      <c r="A1024" s="150"/>
      <c r="B1024" s="151"/>
      <c r="C1024" s="152"/>
      <c r="D1024" s="153"/>
      <c r="E1024" s="154"/>
      <c r="F1024" s="85"/>
      <c r="G1024" s="155"/>
      <c r="H1024" s="156">
        <f t="shared" si="1"/>
        <v>362243.91</v>
      </c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</row>
    <row r="1025">
      <c r="A1025" s="150"/>
      <c r="B1025" s="151"/>
      <c r="C1025" s="152"/>
      <c r="D1025" s="153"/>
      <c r="E1025" s="154"/>
      <c r="F1025" s="85"/>
      <c r="G1025" s="155"/>
      <c r="H1025" s="156">
        <f t="shared" si="1"/>
        <v>362243.91</v>
      </c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</row>
    <row r="1026">
      <c r="A1026" s="150"/>
      <c r="B1026" s="151"/>
      <c r="C1026" s="152"/>
      <c r="D1026" s="153"/>
      <c r="E1026" s="154"/>
      <c r="F1026" s="85"/>
      <c r="G1026" s="155"/>
      <c r="H1026" s="156">
        <f t="shared" si="1"/>
        <v>362243.91</v>
      </c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</row>
    <row r="1027">
      <c r="A1027" s="150"/>
      <c r="B1027" s="151"/>
      <c r="C1027" s="152"/>
      <c r="D1027" s="153"/>
      <c r="E1027" s="154"/>
      <c r="F1027" s="85"/>
      <c r="G1027" s="155"/>
      <c r="H1027" s="156">
        <f t="shared" si="1"/>
        <v>362243.91</v>
      </c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</row>
    <row r="1028">
      <c r="A1028" s="150"/>
      <c r="B1028" s="151"/>
      <c r="C1028" s="152"/>
      <c r="D1028" s="153"/>
      <c r="E1028" s="154"/>
      <c r="F1028" s="85"/>
      <c r="G1028" s="155"/>
      <c r="H1028" s="156">
        <f t="shared" si="1"/>
        <v>362243.91</v>
      </c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</row>
    <row r="1029">
      <c r="A1029" s="150"/>
      <c r="B1029" s="151"/>
      <c r="C1029" s="152"/>
      <c r="D1029" s="153"/>
      <c r="E1029" s="154"/>
      <c r="F1029" s="85"/>
      <c r="G1029" s="155"/>
      <c r="H1029" s="156">
        <f t="shared" si="1"/>
        <v>362243.91</v>
      </c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</row>
    <row r="1030">
      <c r="A1030" s="150"/>
      <c r="B1030" s="151"/>
      <c r="C1030" s="152"/>
      <c r="D1030" s="153"/>
      <c r="E1030" s="154"/>
      <c r="F1030" s="85"/>
      <c r="G1030" s="155"/>
      <c r="H1030" s="156">
        <f t="shared" si="1"/>
        <v>362243.91</v>
      </c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</row>
    <row r="1031">
      <c r="A1031" s="150"/>
      <c r="B1031" s="151"/>
      <c r="C1031" s="152"/>
      <c r="D1031" s="153"/>
      <c r="E1031" s="154"/>
      <c r="F1031" s="85"/>
      <c r="G1031" s="155"/>
      <c r="H1031" s="156">
        <f t="shared" si="1"/>
        <v>362243.91</v>
      </c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</row>
    <row r="1032">
      <c r="A1032" s="150"/>
      <c r="B1032" s="151"/>
      <c r="C1032" s="152"/>
      <c r="D1032" s="153"/>
      <c r="E1032" s="154"/>
      <c r="F1032" s="85"/>
      <c r="G1032" s="155"/>
      <c r="H1032" s="156">
        <f t="shared" si="1"/>
        <v>362243.91</v>
      </c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</row>
    <row r="1033">
      <c r="A1033" s="150"/>
      <c r="B1033" s="151"/>
      <c r="C1033" s="152"/>
      <c r="D1033" s="153"/>
      <c r="E1033" s="154"/>
      <c r="F1033" s="85"/>
      <c r="G1033" s="155"/>
      <c r="H1033" s="156">
        <f t="shared" si="1"/>
        <v>362243.91</v>
      </c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</row>
    <row r="1034">
      <c r="A1034" s="150"/>
      <c r="B1034" s="151"/>
      <c r="C1034" s="152"/>
      <c r="D1034" s="153"/>
      <c r="E1034" s="154"/>
      <c r="F1034" s="85"/>
      <c r="G1034" s="155"/>
      <c r="H1034" s="156">
        <f t="shared" si="1"/>
        <v>362243.91</v>
      </c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</row>
    <row r="1035">
      <c r="A1035" s="150"/>
      <c r="B1035" s="151"/>
      <c r="C1035" s="152"/>
      <c r="D1035" s="153"/>
      <c r="E1035" s="154"/>
      <c r="F1035" s="85"/>
      <c r="G1035" s="155"/>
      <c r="H1035" s="156">
        <f t="shared" si="1"/>
        <v>362243.91</v>
      </c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</row>
    <row r="1036">
      <c r="A1036" s="150"/>
      <c r="B1036" s="151"/>
      <c r="C1036" s="152"/>
      <c r="D1036" s="153"/>
      <c r="E1036" s="154"/>
      <c r="F1036" s="85"/>
      <c r="G1036" s="155"/>
      <c r="H1036" s="156">
        <f t="shared" si="1"/>
        <v>362243.91</v>
      </c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</row>
    <row r="1037">
      <c r="A1037" s="150"/>
      <c r="B1037" s="151"/>
      <c r="C1037" s="152"/>
      <c r="D1037" s="153"/>
      <c r="E1037" s="154"/>
      <c r="F1037" s="85"/>
      <c r="G1037" s="155"/>
      <c r="H1037" s="156">
        <f t="shared" si="1"/>
        <v>362243.91</v>
      </c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</row>
    <row r="1038">
      <c r="A1038" s="150"/>
      <c r="B1038" s="151"/>
      <c r="C1038" s="152"/>
      <c r="D1038" s="153"/>
      <c r="E1038" s="154"/>
      <c r="F1038" s="85"/>
      <c r="G1038" s="155"/>
      <c r="H1038" s="156">
        <f t="shared" si="1"/>
        <v>362243.91</v>
      </c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</row>
    <row r="1039">
      <c r="A1039" s="150"/>
      <c r="B1039" s="151"/>
      <c r="C1039" s="152"/>
      <c r="D1039" s="153"/>
      <c r="E1039" s="154"/>
      <c r="F1039" s="85"/>
      <c r="G1039" s="155"/>
      <c r="H1039" s="156">
        <f t="shared" si="1"/>
        <v>362243.91</v>
      </c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</row>
    <row r="1040">
      <c r="A1040" s="150"/>
      <c r="B1040" s="151"/>
      <c r="C1040" s="152"/>
      <c r="D1040" s="153"/>
      <c r="E1040" s="154"/>
      <c r="F1040" s="85"/>
      <c r="G1040" s="155"/>
      <c r="H1040" s="156">
        <f t="shared" si="1"/>
        <v>362243.91</v>
      </c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</row>
    <row r="1041">
      <c r="A1041" s="150"/>
      <c r="B1041" s="151"/>
      <c r="C1041" s="152"/>
      <c r="D1041" s="153"/>
      <c r="E1041" s="154"/>
      <c r="F1041" s="85"/>
      <c r="G1041" s="155"/>
      <c r="H1041" s="156">
        <f t="shared" si="1"/>
        <v>362243.91</v>
      </c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</row>
    <row r="1042">
      <c r="A1042" s="150"/>
      <c r="B1042" s="151"/>
      <c r="C1042" s="152"/>
      <c r="D1042" s="153"/>
      <c r="E1042" s="154"/>
      <c r="F1042" s="85"/>
      <c r="G1042" s="155"/>
      <c r="H1042" s="156">
        <f t="shared" si="1"/>
        <v>362243.91</v>
      </c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</row>
    <row r="1043">
      <c r="A1043" s="150"/>
      <c r="B1043" s="151"/>
      <c r="C1043" s="152"/>
      <c r="D1043" s="153"/>
      <c r="E1043" s="154"/>
      <c r="F1043" s="85"/>
      <c r="G1043" s="155"/>
      <c r="H1043" s="156">
        <f t="shared" si="1"/>
        <v>362243.91</v>
      </c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</row>
    <row r="1044">
      <c r="A1044" s="150"/>
      <c r="B1044" s="151"/>
      <c r="C1044" s="152"/>
      <c r="D1044" s="153"/>
      <c r="E1044" s="154"/>
      <c r="F1044" s="85"/>
      <c r="G1044" s="155"/>
      <c r="H1044" s="156">
        <f t="shared" si="1"/>
        <v>362243.91</v>
      </c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</row>
    <row r="1045">
      <c r="A1045" s="150"/>
      <c r="B1045" s="151"/>
      <c r="C1045" s="152"/>
      <c r="D1045" s="153"/>
      <c r="E1045" s="154"/>
      <c r="F1045" s="85"/>
      <c r="G1045" s="155"/>
      <c r="H1045" s="156">
        <f t="shared" si="1"/>
        <v>362243.91</v>
      </c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</row>
    <row r="1046">
      <c r="A1046" s="150"/>
      <c r="B1046" s="151"/>
      <c r="C1046" s="152"/>
      <c r="D1046" s="153"/>
      <c r="E1046" s="154"/>
      <c r="F1046" s="85"/>
      <c r="G1046" s="155"/>
      <c r="H1046" s="156">
        <f t="shared" si="1"/>
        <v>362243.91</v>
      </c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</row>
    <row r="1047">
      <c r="A1047" s="150"/>
      <c r="B1047" s="151"/>
      <c r="C1047" s="152"/>
      <c r="D1047" s="153"/>
      <c r="E1047" s="154"/>
      <c r="F1047" s="85"/>
      <c r="G1047" s="155"/>
      <c r="H1047" s="156">
        <f t="shared" si="1"/>
        <v>362243.91</v>
      </c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</row>
    <row r="1048">
      <c r="A1048" s="150"/>
      <c r="B1048" s="151"/>
      <c r="C1048" s="152"/>
      <c r="D1048" s="153"/>
      <c r="E1048" s="154"/>
      <c r="F1048" s="85"/>
      <c r="G1048" s="155"/>
      <c r="H1048" s="156">
        <f t="shared" si="1"/>
        <v>362243.91</v>
      </c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</row>
    <row r="1049">
      <c r="A1049" s="150"/>
      <c r="B1049" s="151"/>
      <c r="C1049" s="152"/>
      <c r="D1049" s="153"/>
      <c r="E1049" s="154"/>
      <c r="F1049" s="85"/>
      <c r="G1049" s="155"/>
      <c r="H1049" s="156">
        <f t="shared" si="1"/>
        <v>362243.91</v>
      </c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</row>
    <row r="1050">
      <c r="A1050" s="150"/>
      <c r="B1050" s="151"/>
      <c r="C1050" s="152"/>
      <c r="D1050" s="153"/>
      <c r="E1050" s="154"/>
      <c r="F1050" s="85"/>
      <c r="G1050" s="155"/>
      <c r="H1050" s="156">
        <f t="shared" si="1"/>
        <v>362243.91</v>
      </c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</row>
    <row r="1051">
      <c r="A1051" s="150"/>
      <c r="B1051" s="151"/>
      <c r="C1051" s="152"/>
      <c r="D1051" s="153"/>
      <c r="E1051" s="154"/>
      <c r="F1051" s="85"/>
      <c r="G1051" s="155"/>
      <c r="H1051" s="156">
        <f t="shared" si="1"/>
        <v>362243.91</v>
      </c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</row>
    <row r="1052">
      <c r="A1052" s="150"/>
      <c r="B1052" s="151"/>
      <c r="C1052" s="152"/>
      <c r="D1052" s="153"/>
      <c r="E1052" s="154"/>
      <c r="F1052" s="85"/>
      <c r="G1052" s="155"/>
      <c r="H1052" s="156">
        <f t="shared" si="1"/>
        <v>362243.91</v>
      </c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</row>
    <row r="1053">
      <c r="A1053" s="150"/>
      <c r="B1053" s="151"/>
      <c r="C1053" s="152"/>
      <c r="D1053" s="153"/>
      <c r="E1053" s="154"/>
      <c r="F1053" s="85"/>
      <c r="G1053" s="155"/>
      <c r="H1053" s="156">
        <f t="shared" si="1"/>
        <v>362243.91</v>
      </c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</row>
    <row r="1054">
      <c r="A1054" s="150"/>
      <c r="B1054" s="151"/>
      <c r="C1054" s="152"/>
      <c r="D1054" s="153"/>
      <c r="E1054" s="154"/>
      <c r="F1054" s="85"/>
      <c r="G1054" s="155"/>
      <c r="H1054" s="156">
        <f t="shared" si="1"/>
        <v>362243.91</v>
      </c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</row>
    <row r="1055">
      <c r="A1055" s="150"/>
      <c r="B1055" s="151"/>
      <c r="C1055" s="152"/>
      <c r="D1055" s="153"/>
      <c r="E1055" s="154"/>
      <c r="F1055" s="85"/>
      <c r="G1055" s="155"/>
      <c r="H1055" s="156">
        <f t="shared" si="1"/>
        <v>362243.91</v>
      </c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</row>
    <row r="1056">
      <c r="A1056" s="150"/>
      <c r="B1056" s="151"/>
      <c r="C1056" s="152"/>
      <c r="D1056" s="153"/>
      <c r="E1056" s="154"/>
      <c r="F1056" s="85"/>
      <c r="G1056" s="155"/>
      <c r="H1056" s="156">
        <f t="shared" si="1"/>
        <v>362243.91</v>
      </c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</row>
    <row r="1057">
      <c r="A1057" s="150"/>
      <c r="B1057" s="151"/>
      <c r="C1057" s="152"/>
      <c r="D1057" s="153"/>
      <c r="E1057" s="154"/>
      <c r="F1057" s="85"/>
      <c r="G1057" s="155"/>
      <c r="H1057" s="156">
        <f t="shared" si="1"/>
        <v>362243.91</v>
      </c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</row>
    <row r="1058">
      <c r="A1058" s="150"/>
      <c r="B1058" s="151"/>
      <c r="C1058" s="152"/>
      <c r="D1058" s="153"/>
      <c r="E1058" s="154"/>
      <c r="F1058" s="85"/>
      <c r="G1058" s="155"/>
      <c r="H1058" s="156">
        <f t="shared" si="1"/>
        <v>362243.91</v>
      </c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</row>
    <row r="1059">
      <c r="A1059" s="150"/>
      <c r="B1059" s="151"/>
      <c r="C1059" s="152"/>
      <c r="D1059" s="153"/>
      <c r="E1059" s="154"/>
      <c r="F1059" s="85"/>
      <c r="G1059" s="155"/>
      <c r="H1059" s="156">
        <f t="shared" si="1"/>
        <v>362243.91</v>
      </c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</row>
    <row r="1060">
      <c r="A1060" s="150"/>
      <c r="B1060" s="151"/>
      <c r="C1060" s="152"/>
      <c r="D1060" s="153"/>
      <c r="E1060" s="154"/>
      <c r="F1060" s="85"/>
      <c r="G1060" s="155"/>
      <c r="H1060" s="156">
        <f t="shared" si="1"/>
        <v>362243.91</v>
      </c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</row>
    <row r="1061">
      <c r="A1061" s="150"/>
      <c r="B1061" s="151"/>
      <c r="C1061" s="152"/>
      <c r="D1061" s="153"/>
      <c r="E1061" s="154"/>
      <c r="F1061" s="85"/>
      <c r="G1061" s="155"/>
      <c r="H1061" s="156">
        <f t="shared" si="1"/>
        <v>362243.91</v>
      </c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</row>
    <row r="1062">
      <c r="A1062" s="150"/>
      <c r="B1062" s="151"/>
      <c r="C1062" s="152"/>
      <c r="D1062" s="153"/>
      <c r="E1062" s="154"/>
      <c r="F1062" s="85"/>
      <c r="G1062" s="155"/>
      <c r="H1062" s="156">
        <f t="shared" si="1"/>
        <v>362243.91</v>
      </c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</row>
    <row r="1063">
      <c r="A1063" s="150"/>
      <c r="B1063" s="151"/>
      <c r="C1063" s="152"/>
      <c r="D1063" s="153"/>
      <c r="E1063" s="154"/>
      <c r="F1063" s="85"/>
      <c r="G1063" s="155"/>
      <c r="H1063" s="156">
        <f t="shared" si="1"/>
        <v>362243.91</v>
      </c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</row>
    <row r="1064">
      <c r="A1064" s="150"/>
      <c r="B1064" s="151"/>
      <c r="C1064" s="152"/>
      <c r="D1064" s="153"/>
      <c r="E1064" s="154"/>
      <c r="F1064" s="85"/>
      <c r="G1064" s="155"/>
      <c r="H1064" s="156">
        <f t="shared" si="1"/>
        <v>362243.91</v>
      </c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</row>
    <row r="1065">
      <c r="A1065" s="150"/>
      <c r="B1065" s="151"/>
      <c r="C1065" s="152"/>
      <c r="D1065" s="153"/>
      <c r="E1065" s="154"/>
      <c r="F1065" s="85"/>
      <c r="G1065" s="155"/>
      <c r="H1065" s="156">
        <f t="shared" si="1"/>
        <v>362243.91</v>
      </c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</row>
    <row r="1066">
      <c r="A1066" s="150"/>
      <c r="B1066" s="151"/>
      <c r="C1066" s="152"/>
      <c r="D1066" s="153"/>
      <c r="E1066" s="154"/>
      <c r="F1066" s="85"/>
      <c r="G1066" s="155"/>
      <c r="H1066" s="156">
        <f t="shared" si="1"/>
        <v>362243.91</v>
      </c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</row>
    <row r="1067">
      <c r="A1067" s="150"/>
      <c r="B1067" s="151"/>
      <c r="C1067" s="152"/>
      <c r="D1067" s="153"/>
      <c r="E1067" s="154"/>
      <c r="F1067" s="85"/>
      <c r="G1067" s="155"/>
      <c r="H1067" s="156">
        <f t="shared" si="1"/>
        <v>362243.91</v>
      </c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</row>
    <row r="1068">
      <c r="A1068" s="150"/>
      <c r="B1068" s="151"/>
      <c r="C1068" s="152"/>
      <c r="D1068" s="153"/>
      <c r="E1068" s="154"/>
      <c r="F1068" s="85"/>
      <c r="G1068" s="155"/>
      <c r="H1068" s="156">
        <f t="shared" si="1"/>
        <v>362243.91</v>
      </c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</row>
    <row r="1069">
      <c r="A1069" s="150"/>
      <c r="B1069" s="151"/>
      <c r="C1069" s="152"/>
      <c r="D1069" s="153"/>
      <c r="E1069" s="154"/>
      <c r="F1069" s="85"/>
      <c r="G1069" s="155"/>
      <c r="H1069" s="156">
        <f t="shared" si="1"/>
        <v>362243.91</v>
      </c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</row>
    <row r="1070">
      <c r="A1070" s="150"/>
      <c r="B1070" s="151"/>
      <c r="C1070" s="152"/>
      <c r="D1070" s="153"/>
      <c r="E1070" s="154"/>
      <c r="F1070" s="85"/>
      <c r="G1070" s="155"/>
      <c r="H1070" s="156">
        <f t="shared" si="1"/>
        <v>362243.91</v>
      </c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</row>
    <row r="1071">
      <c r="A1071" s="150"/>
      <c r="B1071" s="151"/>
      <c r="C1071" s="152"/>
      <c r="D1071" s="153"/>
      <c r="E1071" s="154"/>
      <c r="F1071" s="85"/>
      <c r="G1071" s="155"/>
      <c r="H1071" s="156">
        <f t="shared" si="1"/>
        <v>362243.91</v>
      </c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</row>
    <row r="1072">
      <c r="A1072" s="150"/>
      <c r="B1072" s="151"/>
      <c r="C1072" s="152"/>
      <c r="D1072" s="153"/>
      <c r="E1072" s="154"/>
      <c r="F1072" s="85"/>
      <c r="G1072" s="155"/>
      <c r="H1072" s="156">
        <f t="shared" si="1"/>
        <v>362243.91</v>
      </c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</row>
    <row r="1073">
      <c r="A1073" s="150"/>
      <c r="B1073" s="151"/>
      <c r="C1073" s="152"/>
      <c r="D1073" s="153"/>
      <c r="E1073" s="154"/>
      <c r="F1073" s="85"/>
      <c r="G1073" s="155"/>
      <c r="H1073" s="156">
        <f t="shared" si="1"/>
        <v>362243.91</v>
      </c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</row>
    <row r="1074">
      <c r="A1074" s="150"/>
      <c r="B1074" s="151"/>
      <c r="C1074" s="152"/>
      <c r="D1074" s="153"/>
      <c r="E1074" s="154"/>
      <c r="F1074" s="85"/>
      <c r="G1074" s="155"/>
      <c r="H1074" s="156">
        <f t="shared" si="1"/>
        <v>362243.91</v>
      </c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</row>
    <row r="1075">
      <c r="A1075" s="150"/>
      <c r="B1075" s="151"/>
      <c r="C1075" s="152"/>
      <c r="D1075" s="153"/>
      <c r="E1075" s="154"/>
      <c r="F1075" s="85"/>
      <c r="G1075" s="155"/>
      <c r="H1075" s="156">
        <f t="shared" si="1"/>
        <v>362243.91</v>
      </c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</row>
    <row r="1076">
      <c r="A1076" s="150"/>
      <c r="B1076" s="151"/>
      <c r="C1076" s="152"/>
      <c r="D1076" s="153"/>
      <c r="E1076" s="154"/>
      <c r="F1076" s="85"/>
      <c r="G1076" s="155"/>
      <c r="H1076" s="156">
        <f t="shared" si="1"/>
        <v>362243.91</v>
      </c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</row>
    <row r="1077">
      <c r="A1077" s="150"/>
      <c r="B1077" s="151"/>
      <c r="C1077" s="152"/>
      <c r="D1077" s="153"/>
      <c r="E1077" s="154"/>
      <c r="F1077" s="85"/>
      <c r="G1077" s="155"/>
      <c r="H1077" s="156">
        <f t="shared" si="1"/>
        <v>362243.91</v>
      </c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</row>
    <row r="1078">
      <c r="A1078" s="150"/>
      <c r="B1078" s="151"/>
      <c r="C1078" s="152"/>
      <c r="D1078" s="153"/>
      <c r="E1078" s="154"/>
      <c r="F1078" s="85"/>
      <c r="G1078" s="155"/>
      <c r="H1078" s="156">
        <f t="shared" si="1"/>
        <v>362243.91</v>
      </c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</row>
    <row r="1079">
      <c r="A1079" s="150"/>
      <c r="B1079" s="151"/>
      <c r="C1079" s="152"/>
      <c r="D1079" s="153"/>
      <c r="E1079" s="154"/>
      <c r="F1079" s="85"/>
      <c r="G1079" s="155"/>
      <c r="H1079" s="156">
        <f t="shared" si="1"/>
        <v>362243.91</v>
      </c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</row>
    <row r="1080">
      <c r="A1080" s="150"/>
      <c r="B1080" s="151"/>
      <c r="C1080" s="152"/>
      <c r="D1080" s="153"/>
      <c r="E1080" s="154"/>
      <c r="F1080" s="85"/>
      <c r="G1080" s="155"/>
      <c r="H1080" s="156">
        <f t="shared" si="1"/>
        <v>362243.91</v>
      </c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</row>
    <row r="1081">
      <c r="A1081" s="150"/>
      <c r="B1081" s="151"/>
      <c r="C1081" s="152"/>
      <c r="D1081" s="153"/>
      <c r="E1081" s="154"/>
      <c r="F1081" s="85"/>
      <c r="G1081" s="155"/>
      <c r="H1081" s="156">
        <f t="shared" si="1"/>
        <v>362243.91</v>
      </c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</row>
    <row r="1082">
      <c r="A1082" s="150"/>
      <c r="B1082" s="151"/>
      <c r="C1082" s="152"/>
      <c r="D1082" s="153"/>
      <c r="E1082" s="154"/>
      <c r="F1082" s="85"/>
      <c r="G1082" s="155"/>
      <c r="H1082" s="156">
        <f t="shared" si="1"/>
        <v>362243.91</v>
      </c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</row>
    <row r="1083">
      <c r="A1083" s="150"/>
      <c r="B1083" s="151"/>
      <c r="C1083" s="152"/>
      <c r="D1083" s="153"/>
      <c r="E1083" s="154"/>
      <c r="F1083" s="85"/>
      <c r="G1083" s="155"/>
      <c r="H1083" s="156">
        <f t="shared" si="1"/>
        <v>362243.91</v>
      </c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</row>
    <row r="1084">
      <c r="A1084" s="150"/>
      <c r="B1084" s="151"/>
      <c r="C1084" s="152"/>
      <c r="D1084" s="153"/>
      <c r="E1084" s="154"/>
      <c r="F1084" s="85"/>
      <c r="G1084" s="155"/>
      <c r="H1084" s="156">
        <f t="shared" si="1"/>
        <v>362243.91</v>
      </c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</row>
    <row r="1085">
      <c r="A1085" s="150"/>
      <c r="B1085" s="151"/>
      <c r="C1085" s="152"/>
      <c r="D1085" s="153"/>
      <c r="E1085" s="154"/>
      <c r="F1085" s="85"/>
      <c r="G1085" s="155"/>
      <c r="H1085" s="156">
        <f t="shared" si="1"/>
        <v>362243.91</v>
      </c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</row>
    <row r="1086">
      <c r="A1086" s="150"/>
      <c r="B1086" s="151"/>
      <c r="C1086" s="152"/>
      <c r="D1086" s="153"/>
      <c r="E1086" s="154"/>
      <c r="F1086" s="85"/>
      <c r="G1086" s="155"/>
      <c r="H1086" s="156">
        <f t="shared" si="1"/>
        <v>362243.91</v>
      </c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</row>
    <row r="1087">
      <c r="A1087" s="150"/>
      <c r="B1087" s="151"/>
      <c r="C1087" s="152"/>
      <c r="D1087" s="153"/>
      <c r="E1087" s="154"/>
      <c r="F1087" s="85"/>
      <c r="G1087" s="155"/>
      <c r="H1087" s="156">
        <f t="shared" si="1"/>
        <v>362243.91</v>
      </c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</row>
    <row r="1088">
      <c r="A1088" s="150"/>
      <c r="B1088" s="151"/>
      <c r="C1088" s="152"/>
      <c r="D1088" s="153"/>
      <c r="E1088" s="154"/>
      <c r="F1088" s="85"/>
      <c r="G1088" s="155"/>
      <c r="H1088" s="156">
        <f t="shared" si="1"/>
        <v>362243.91</v>
      </c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</row>
    <row r="1089">
      <c r="A1089" s="150"/>
      <c r="B1089" s="151"/>
      <c r="C1089" s="152"/>
      <c r="D1089" s="153"/>
      <c r="E1089" s="154"/>
      <c r="F1089" s="85"/>
      <c r="G1089" s="155"/>
      <c r="H1089" s="156">
        <f t="shared" si="1"/>
        <v>362243.91</v>
      </c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</row>
    <row r="1090">
      <c r="A1090" s="150"/>
      <c r="B1090" s="151"/>
      <c r="C1090" s="152"/>
      <c r="D1090" s="153"/>
      <c r="E1090" s="154"/>
      <c r="F1090" s="85"/>
      <c r="G1090" s="155"/>
      <c r="H1090" s="156">
        <f t="shared" si="1"/>
        <v>362243.91</v>
      </c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</row>
    <row r="1091">
      <c r="A1091" s="150"/>
      <c r="B1091" s="151"/>
      <c r="C1091" s="152"/>
      <c r="D1091" s="153"/>
      <c r="E1091" s="154"/>
      <c r="F1091" s="85"/>
      <c r="G1091" s="155"/>
      <c r="H1091" s="156">
        <f t="shared" si="1"/>
        <v>362243.91</v>
      </c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</row>
    <row r="1092">
      <c r="A1092" s="150"/>
      <c r="B1092" s="151"/>
      <c r="C1092" s="152"/>
      <c r="D1092" s="153"/>
      <c r="E1092" s="154"/>
      <c r="F1092" s="85"/>
      <c r="G1092" s="155"/>
      <c r="H1092" s="156">
        <f t="shared" si="1"/>
        <v>362243.91</v>
      </c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</row>
    <row r="1093">
      <c r="A1093" s="150"/>
      <c r="B1093" s="151"/>
      <c r="C1093" s="152"/>
      <c r="D1093" s="153"/>
      <c r="E1093" s="154"/>
      <c r="F1093" s="85"/>
      <c r="G1093" s="155"/>
      <c r="H1093" s="156">
        <f t="shared" si="1"/>
        <v>362243.91</v>
      </c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</row>
    <row r="1094">
      <c r="A1094" s="150"/>
      <c r="B1094" s="151"/>
      <c r="C1094" s="152"/>
      <c r="D1094" s="153"/>
      <c r="E1094" s="154"/>
      <c r="F1094" s="85"/>
      <c r="G1094" s="155"/>
      <c r="H1094" s="156">
        <f t="shared" si="1"/>
        <v>362243.91</v>
      </c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</row>
    <row r="1095">
      <c r="A1095" s="150"/>
      <c r="B1095" s="151"/>
      <c r="C1095" s="152"/>
      <c r="D1095" s="153"/>
      <c r="E1095" s="154"/>
      <c r="F1095" s="85"/>
      <c r="G1095" s="155"/>
      <c r="H1095" s="156">
        <f t="shared" si="1"/>
        <v>362243.91</v>
      </c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</row>
    <row r="1096">
      <c r="A1096" s="150"/>
      <c r="B1096" s="151"/>
      <c r="C1096" s="152"/>
      <c r="D1096" s="153"/>
      <c r="E1096" s="154"/>
      <c r="F1096" s="85"/>
      <c r="G1096" s="155"/>
      <c r="H1096" s="156">
        <f t="shared" si="1"/>
        <v>362243.91</v>
      </c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</row>
    <row r="1097">
      <c r="A1097" s="150"/>
      <c r="B1097" s="151"/>
      <c r="C1097" s="152"/>
      <c r="D1097" s="153"/>
      <c r="E1097" s="154"/>
      <c r="F1097" s="85"/>
      <c r="G1097" s="155"/>
      <c r="H1097" s="156">
        <f t="shared" si="1"/>
        <v>362243.91</v>
      </c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</row>
    <row r="1098">
      <c r="A1098" s="150"/>
      <c r="B1098" s="151"/>
      <c r="C1098" s="152"/>
      <c r="D1098" s="153"/>
      <c r="E1098" s="154"/>
      <c r="F1098" s="85"/>
      <c r="G1098" s="155"/>
      <c r="H1098" s="156">
        <f t="shared" si="1"/>
        <v>362243.91</v>
      </c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</row>
    <row r="1099">
      <c r="A1099" s="150"/>
      <c r="B1099" s="151"/>
      <c r="C1099" s="152"/>
      <c r="D1099" s="153"/>
      <c r="E1099" s="154"/>
      <c r="F1099" s="85"/>
      <c r="G1099" s="155"/>
      <c r="H1099" s="156">
        <f t="shared" si="1"/>
        <v>362243.91</v>
      </c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</row>
    <row r="1100">
      <c r="A1100" s="150"/>
      <c r="B1100" s="151"/>
      <c r="C1100" s="152"/>
      <c r="D1100" s="153"/>
      <c r="E1100" s="154"/>
      <c r="F1100" s="85"/>
      <c r="G1100" s="155"/>
      <c r="H1100" s="156">
        <f t="shared" si="1"/>
        <v>362243.91</v>
      </c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</row>
    <row r="1101">
      <c r="A1101" s="150"/>
      <c r="B1101" s="151"/>
      <c r="C1101" s="152"/>
      <c r="D1101" s="153"/>
      <c r="E1101" s="154"/>
      <c r="F1101" s="85"/>
      <c r="G1101" s="155"/>
      <c r="H1101" s="156">
        <f t="shared" si="1"/>
        <v>362243.91</v>
      </c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</row>
    <row r="1102">
      <c r="A1102" s="150"/>
      <c r="B1102" s="151"/>
      <c r="C1102" s="152"/>
      <c r="D1102" s="153"/>
      <c r="E1102" s="154"/>
      <c r="F1102" s="85"/>
      <c r="G1102" s="155"/>
      <c r="H1102" s="156">
        <f t="shared" si="1"/>
        <v>362243.91</v>
      </c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</row>
    <row r="1103">
      <c r="A1103" s="150"/>
      <c r="B1103" s="151"/>
      <c r="C1103" s="152"/>
      <c r="D1103" s="153"/>
      <c r="E1103" s="154"/>
      <c r="F1103" s="85"/>
      <c r="G1103" s="155"/>
      <c r="H1103" s="156">
        <f t="shared" si="1"/>
        <v>362243.91</v>
      </c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</row>
    <row r="1104">
      <c r="A1104" s="150"/>
      <c r="B1104" s="151"/>
      <c r="C1104" s="152"/>
      <c r="D1104" s="153"/>
      <c r="E1104" s="154"/>
      <c r="F1104" s="85"/>
      <c r="G1104" s="155"/>
      <c r="H1104" s="156">
        <f t="shared" si="1"/>
        <v>362243.91</v>
      </c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</row>
    <row r="1105">
      <c r="A1105" s="150"/>
      <c r="B1105" s="151"/>
      <c r="C1105" s="152"/>
      <c r="D1105" s="153"/>
      <c r="E1105" s="154"/>
      <c r="F1105" s="85"/>
      <c r="G1105" s="155"/>
      <c r="H1105" s="156">
        <f t="shared" si="1"/>
        <v>362243.91</v>
      </c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</row>
    <row r="1106">
      <c r="A1106" s="150"/>
      <c r="B1106" s="151"/>
      <c r="C1106" s="152"/>
      <c r="D1106" s="153"/>
      <c r="E1106" s="154"/>
      <c r="F1106" s="85"/>
      <c r="G1106" s="155"/>
      <c r="H1106" s="156">
        <f t="shared" si="1"/>
        <v>362243.91</v>
      </c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</row>
    <row r="1107">
      <c r="A1107" s="150"/>
      <c r="B1107" s="151"/>
      <c r="C1107" s="152"/>
      <c r="D1107" s="153"/>
      <c r="E1107" s="154"/>
      <c r="F1107" s="85"/>
      <c r="G1107" s="155"/>
      <c r="H1107" s="156">
        <f t="shared" si="1"/>
        <v>362243.91</v>
      </c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</row>
  </sheetData>
  <conditionalFormatting sqref="I2:I1107">
    <cfRule type="cellIs" dxfId="8" priority="1" stopIfTrue="1" operator="greaterThan">
      <formula>0</formula>
    </cfRule>
  </conditionalFormatting>
  <conditionalFormatting sqref="I2:I1107">
    <cfRule type="cellIs" dxfId="9" priority="2" stopIfTrue="1" operator="lessThan">
      <formula>0</formula>
    </cfRule>
  </conditionalFormatting>
  <conditionalFormatting sqref="A2:F1107">
    <cfRule type="expression" dxfId="24" priority="3">
      <formula>$A2 = "Saldo inicial"</formula>
    </cfRule>
  </conditionalFormatting>
  <conditionalFormatting sqref="A2:F1107">
    <cfRule type="expression" dxfId="25" priority="4">
      <formula>$A2 = "Juros e Aplicações"</formula>
    </cfRule>
  </conditionalFormatting>
  <conditionalFormatting sqref="A2:F1107">
    <cfRule type="expression" dxfId="26" priority="5">
      <formula>$A2 = "Rateio Municipal"</formula>
    </cfRule>
  </conditionalFormatting>
  <conditionalFormatting sqref="A2:F1107">
    <cfRule type="expression" dxfId="27" priority="6">
      <formula>$A2 = "Encargos Trabalhistas"</formula>
    </cfRule>
  </conditionalFormatting>
  <conditionalFormatting sqref="A2:F1107">
    <cfRule type="expression" dxfId="28" priority="7">
      <formula>$A2 = "FGTS"</formula>
    </cfRule>
  </conditionalFormatting>
  <conditionalFormatting sqref="A2:F1107">
    <cfRule type="expression" dxfId="29" priority="8">
      <formula>$A2 = "Topografia"</formula>
    </cfRule>
  </conditionalFormatting>
  <conditionalFormatting sqref="A2:F1107">
    <cfRule type="expression" dxfId="30" priority="9">
      <formula>$A2 = "Folha de Pagamento"</formula>
    </cfRule>
  </conditionalFormatting>
  <conditionalFormatting sqref="A2:F1107">
    <cfRule type="expression" dxfId="31" priority="10">
      <formula>$A2 = "Devolução"</formula>
    </cfRule>
  </conditionalFormatting>
  <conditionalFormatting sqref="A2:F1107">
    <cfRule type="expression" dxfId="32" priority="11">
      <formula>$A2 = "Rateio (transferência errada)"</formula>
    </cfRule>
  </conditionalFormatting>
  <conditionalFormatting sqref="A2:F1107">
    <cfRule type="expression" dxfId="33" priority="12">
      <formula>$A2 = "Licenciamento Ambiental"</formula>
    </cfRule>
  </conditionalFormatting>
  <conditionalFormatting sqref="B39">
    <cfRule type="notContainsBlanks" dxfId="34" priority="13">
      <formula>LEN(TRIM(B39))&gt;0</formula>
    </cfRule>
  </conditionalFormatting>
  <conditionalFormatting sqref="A2:F1107">
    <cfRule type="expression" dxfId="35" priority="14">
      <formula>$A2 = "Diária"</formula>
    </cfRule>
  </conditionalFormatting>
  <conditionalFormatting sqref="G2:G1107">
    <cfRule type="expression" dxfId="36" priority="15">
      <formula>$G2 &gt;0</formula>
    </cfRule>
  </conditionalFormatting>
  <conditionalFormatting sqref="G2:G1107">
    <cfRule type="expression" dxfId="37" priority="16">
      <formula>$G2 &lt; 0</formula>
    </cfRule>
  </conditionalFormatting>
  <dataValidations>
    <dataValidation type="custom" allowBlank="1" showDropDown="1" sqref="D2:D1107">
      <formula1>OR(NOT(ISERROR(DATEVALUE(D2))), AND(ISNUMBER(D2), LEFT(CELL("format", D2))="D"))</formula1>
    </dataValidation>
    <dataValidation type="list" allowBlank="1" sqref="F2:F1107">
      <formula1>"Pix,Boleto,Não consta"</formula1>
    </dataValidation>
    <dataValidation type="list" allowBlank="1" sqref="A2:A1107">
      <formula1>"Saldo inicial,Juros e Aplicações,Rateio Municipal,Encargos Trabalhistas,FGTS,Folha de Pagamento,Topografia,Devolução,Rateio (transferência errada),Licenciamento Ambiental,Diária,DARF PASEP"</formula1>
    </dataValidation>
    <dataValidation type="list" allowBlank="1" sqref="E2:E1107">
      <formula1>"Pago,Aguardando Aprovação,Em aberto,Aprovado - Aguardando Pagamento,Pagamento Realizado - Aguardando autorização Margarete"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1" width="16.89"/>
    <col customWidth="1" min="2" max="2" width="27.78"/>
    <col customWidth="1" min="3" max="3" width="15.0"/>
    <col customWidth="1" min="4" max="4" width="14.78"/>
    <col customWidth="1" min="5" max="5" width="20.67"/>
    <col customWidth="1" min="6" max="6" width="15.89"/>
    <col customWidth="1" min="7" max="8" width="27.22"/>
  </cols>
  <sheetData>
    <row r="1">
      <c r="A1" s="3" t="s">
        <v>0</v>
      </c>
      <c r="B1" s="6" t="s">
        <v>2</v>
      </c>
      <c r="C1" s="7" t="s">
        <v>5</v>
      </c>
      <c r="D1" s="9" t="s">
        <v>7</v>
      </c>
      <c r="E1" s="7" t="s">
        <v>9</v>
      </c>
      <c r="F1" s="7" t="s">
        <v>11</v>
      </c>
      <c r="G1" s="13" t="s">
        <v>13</v>
      </c>
      <c r="H1" s="15" t="s">
        <v>16</v>
      </c>
      <c r="I1" s="16"/>
    </row>
    <row r="2">
      <c r="A2" s="20" t="s">
        <v>18</v>
      </c>
      <c r="B2" s="35" t="s">
        <v>21</v>
      </c>
      <c r="C2" s="38"/>
      <c r="D2" s="40">
        <v>46076.0</v>
      </c>
      <c r="E2" s="20" t="s">
        <v>25</v>
      </c>
      <c r="F2" s="20" t="s">
        <v>43</v>
      </c>
      <c r="G2" s="44">
        <v>-805.49</v>
      </c>
      <c r="H2" s="45">
        <f>G2</f>
        <v>-805.49</v>
      </c>
      <c r="I2" s="46"/>
    </row>
    <row r="3">
      <c r="A3" s="20" t="s">
        <v>18</v>
      </c>
      <c r="B3" s="35" t="s">
        <v>50</v>
      </c>
      <c r="C3" s="38"/>
      <c r="D3" s="40">
        <v>46076.0</v>
      </c>
      <c r="E3" s="20" t="s">
        <v>25</v>
      </c>
      <c r="F3" s="20" t="s">
        <v>43</v>
      </c>
      <c r="G3" s="51">
        <v>-806.25</v>
      </c>
      <c r="H3" s="45">
        <f t="shared" ref="H3:H75" si="1">H2+G3</f>
        <v>-1611.74</v>
      </c>
      <c r="I3" s="46"/>
    </row>
    <row r="4">
      <c r="A4" s="20" t="s">
        <v>18</v>
      </c>
      <c r="B4" s="35" t="s">
        <v>59</v>
      </c>
      <c r="C4" s="38" t="s">
        <v>60</v>
      </c>
      <c r="D4" s="40">
        <v>46076.0</v>
      </c>
      <c r="E4" s="20" t="s">
        <v>25</v>
      </c>
      <c r="F4" s="20" t="s">
        <v>43</v>
      </c>
      <c r="G4" s="51">
        <v>-404.31</v>
      </c>
      <c r="H4" s="45">
        <f t="shared" si="1"/>
        <v>-2016.05</v>
      </c>
      <c r="I4" s="46"/>
    </row>
    <row r="5">
      <c r="A5" s="20" t="s">
        <v>18</v>
      </c>
      <c r="B5" s="35" t="s">
        <v>61</v>
      </c>
      <c r="C5" s="38" t="s">
        <v>62</v>
      </c>
      <c r="D5" s="40">
        <v>46076.0</v>
      </c>
      <c r="E5" s="20" t="s">
        <v>25</v>
      </c>
      <c r="F5" s="20" t="s">
        <v>58</v>
      </c>
      <c r="G5" s="51">
        <v>-400.0</v>
      </c>
      <c r="H5" s="45">
        <f t="shared" si="1"/>
        <v>-2416.05</v>
      </c>
      <c r="I5" s="46"/>
    </row>
    <row r="6">
      <c r="A6" s="20" t="s">
        <v>18</v>
      </c>
      <c r="B6" s="35" t="s">
        <v>63</v>
      </c>
      <c r="C6" s="38" t="s">
        <v>64</v>
      </c>
      <c r="D6" s="40">
        <v>46076.0</v>
      </c>
      <c r="E6" s="20" t="s">
        <v>25</v>
      </c>
      <c r="F6" s="20" t="s">
        <v>43</v>
      </c>
      <c r="G6" s="51">
        <v>-385.14</v>
      </c>
      <c r="H6" s="45">
        <f t="shared" si="1"/>
        <v>-2801.19</v>
      </c>
      <c r="I6" s="46"/>
    </row>
    <row r="7">
      <c r="A7" s="20" t="s">
        <v>18</v>
      </c>
      <c r="B7" s="35" t="s">
        <v>66</v>
      </c>
      <c r="C7" s="38"/>
      <c r="D7" s="40">
        <v>46076.0</v>
      </c>
      <c r="E7" s="20" t="s">
        <v>25</v>
      </c>
      <c r="F7" s="20" t="s">
        <v>43</v>
      </c>
      <c r="G7" s="51">
        <v>-600.11</v>
      </c>
      <c r="H7" s="45">
        <f t="shared" si="1"/>
        <v>-3401.3</v>
      </c>
      <c r="I7" s="16"/>
    </row>
    <row r="8">
      <c r="A8" s="20" t="s">
        <v>18</v>
      </c>
      <c r="B8" s="35" t="s">
        <v>67</v>
      </c>
      <c r="C8" s="38" t="s">
        <v>68</v>
      </c>
      <c r="D8" s="40">
        <v>46076.0</v>
      </c>
      <c r="E8" s="20" t="s">
        <v>25</v>
      </c>
      <c r="F8" s="20" t="s">
        <v>58</v>
      </c>
      <c r="G8" s="51">
        <v>-861.98</v>
      </c>
      <c r="H8" s="45">
        <f t="shared" si="1"/>
        <v>-4263.28</v>
      </c>
      <c r="I8" s="16"/>
    </row>
    <row r="9">
      <c r="A9" s="20" t="s">
        <v>18</v>
      </c>
      <c r="B9" s="35" t="s">
        <v>69</v>
      </c>
      <c r="C9" s="38" t="s">
        <v>70</v>
      </c>
      <c r="D9" s="40">
        <v>46084.0</v>
      </c>
      <c r="E9" s="20" t="s">
        <v>25</v>
      </c>
      <c r="F9" s="20" t="s">
        <v>58</v>
      </c>
      <c r="G9" s="51">
        <v>-400.0</v>
      </c>
      <c r="H9" s="45">
        <f t="shared" si="1"/>
        <v>-4663.28</v>
      </c>
      <c r="I9" s="16"/>
    </row>
    <row r="10">
      <c r="A10" s="20" t="s">
        <v>18</v>
      </c>
      <c r="B10" s="35" t="s">
        <v>73</v>
      </c>
      <c r="C10" s="38" t="s">
        <v>74</v>
      </c>
      <c r="D10" s="40">
        <v>46080.0</v>
      </c>
      <c r="E10" s="20" t="s">
        <v>25</v>
      </c>
      <c r="F10" s="20" t="s">
        <v>58</v>
      </c>
      <c r="G10" s="51">
        <v>-250.18</v>
      </c>
      <c r="H10" s="45">
        <f t="shared" si="1"/>
        <v>-4913.46</v>
      </c>
      <c r="I10" s="16"/>
    </row>
    <row r="11">
      <c r="A11" s="20" t="s">
        <v>18</v>
      </c>
      <c r="B11" s="35" t="s">
        <v>76</v>
      </c>
      <c r="C11" s="38" t="s">
        <v>77</v>
      </c>
      <c r="D11" s="40">
        <v>46080.0</v>
      </c>
      <c r="E11" s="20" t="s">
        <v>25</v>
      </c>
      <c r="F11" s="20" t="s">
        <v>43</v>
      </c>
      <c r="G11" s="51">
        <v>-1408.34</v>
      </c>
      <c r="H11" s="45">
        <f t="shared" si="1"/>
        <v>-6321.8</v>
      </c>
      <c r="I11" s="16"/>
    </row>
    <row r="12">
      <c r="A12" s="20" t="s">
        <v>18</v>
      </c>
      <c r="B12" s="35" t="s">
        <v>79</v>
      </c>
      <c r="C12" s="38" t="s">
        <v>80</v>
      </c>
      <c r="D12" s="40">
        <v>46080.0</v>
      </c>
      <c r="E12" s="20" t="s">
        <v>25</v>
      </c>
      <c r="F12" s="20" t="s">
        <v>58</v>
      </c>
      <c r="G12" s="51">
        <v>-1295.0</v>
      </c>
      <c r="H12" s="45">
        <f t="shared" si="1"/>
        <v>-7616.8</v>
      </c>
      <c r="I12" s="16"/>
    </row>
    <row r="13">
      <c r="A13" s="20" t="s">
        <v>18</v>
      </c>
      <c r="B13" s="35" t="s">
        <v>82</v>
      </c>
      <c r="C13" s="38" t="s">
        <v>83</v>
      </c>
      <c r="D13" s="40">
        <v>46080.0</v>
      </c>
      <c r="E13" s="20" t="s">
        <v>25</v>
      </c>
      <c r="F13" s="20" t="s">
        <v>58</v>
      </c>
      <c r="G13" s="51">
        <v>-2575.0</v>
      </c>
      <c r="H13" s="45">
        <f t="shared" si="1"/>
        <v>-10191.8</v>
      </c>
      <c r="I13" s="46"/>
    </row>
    <row r="14">
      <c r="A14" s="20" t="s">
        <v>18</v>
      </c>
      <c r="B14" s="35" t="s">
        <v>87</v>
      </c>
      <c r="C14" s="66"/>
      <c r="D14" s="40">
        <v>46080.0</v>
      </c>
      <c r="E14" s="20" t="s">
        <v>25</v>
      </c>
      <c r="F14" s="20" t="s">
        <v>58</v>
      </c>
      <c r="G14" s="51">
        <v>-230.0</v>
      </c>
      <c r="H14" s="45">
        <f t="shared" si="1"/>
        <v>-10421.8</v>
      </c>
      <c r="I14" s="67"/>
      <c r="J14" s="67"/>
      <c r="K14" s="67"/>
    </row>
    <row r="15">
      <c r="A15" s="20" t="s">
        <v>18</v>
      </c>
      <c r="B15" s="35" t="s">
        <v>90</v>
      </c>
      <c r="C15" s="38" t="s">
        <v>91</v>
      </c>
      <c r="D15" s="40">
        <v>46080.0</v>
      </c>
      <c r="E15" s="20" t="s">
        <v>25</v>
      </c>
      <c r="F15" s="20" t="s">
        <v>58</v>
      </c>
      <c r="G15" s="51">
        <v>-68.0</v>
      </c>
      <c r="H15" s="45">
        <f t="shared" si="1"/>
        <v>-10489.8</v>
      </c>
      <c r="I15" s="67"/>
      <c r="J15" s="67"/>
      <c r="K15" s="67"/>
    </row>
    <row r="16">
      <c r="A16" s="20" t="s">
        <v>18</v>
      </c>
      <c r="B16" s="68" t="s">
        <v>94</v>
      </c>
      <c r="C16" s="69"/>
      <c r="D16" s="70">
        <v>46085.0</v>
      </c>
      <c r="E16" s="71" t="s">
        <v>25</v>
      </c>
      <c r="F16" s="71" t="s">
        <v>43</v>
      </c>
      <c r="G16" s="72">
        <v>-1740.0</v>
      </c>
      <c r="H16" s="45">
        <f t="shared" si="1"/>
        <v>-12229.8</v>
      </c>
      <c r="I16" s="67"/>
      <c r="J16" s="67"/>
      <c r="K16" s="67"/>
    </row>
    <row r="17">
      <c r="A17" s="20" t="s">
        <v>18</v>
      </c>
      <c r="B17" s="68" t="s">
        <v>96</v>
      </c>
      <c r="C17" s="69"/>
      <c r="D17" s="70">
        <v>46085.0</v>
      </c>
      <c r="E17" s="71" t="s">
        <v>25</v>
      </c>
      <c r="F17" s="71" t="s">
        <v>58</v>
      </c>
      <c r="G17" s="72">
        <v>-1621.0</v>
      </c>
      <c r="H17" s="45">
        <f t="shared" si="1"/>
        <v>-13850.8</v>
      </c>
      <c r="I17" s="67"/>
      <c r="J17" s="67"/>
      <c r="K17" s="67"/>
    </row>
    <row r="18">
      <c r="A18" s="20" t="s">
        <v>18</v>
      </c>
      <c r="B18" s="73" t="s">
        <v>97</v>
      </c>
      <c r="C18" s="74"/>
      <c r="D18" s="76">
        <v>46090.0</v>
      </c>
      <c r="E18" s="71" t="s">
        <v>25</v>
      </c>
      <c r="F18" s="78" t="s">
        <v>43</v>
      </c>
      <c r="G18" s="80">
        <v>-119.14</v>
      </c>
      <c r="H18" s="45">
        <f t="shared" si="1"/>
        <v>-13969.94</v>
      </c>
      <c r="I18" s="81"/>
    </row>
    <row r="19">
      <c r="A19" s="20" t="s">
        <v>18</v>
      </c>
      <c r="B19" s="68" t="s">
        <v>101</v>
      </c>
      <c r="C19" s="82" t="s">
        <v>102</v>
      </c>
      <c r="D19" s="70">
        <v>46093.0</v>
      </c>
      <c r="E19" s="71" t="s">
        <v>25</v>
      </c>
      <c r="F19" s="71" t="s">
        <v>58</v>
      </c>
      <c r="G19" s="72">
        <v>-115.0</v>
      </c>
      <c r="H19" s="45">
        <f t="shared" si="1"/>
        <v>-14084.94</v>
      </c>
      <c r="I19" s="67"/>
      <c r="J19" s="83"/>
      <c r="K19" s="83"/>
    </row>
    <row r="20">
      <c r="A20" s="20" t="s">
        <v>18</v>
      </c>
      <c r="B20" s="73" t="s">
        <v>59</v>
      </c>
      <c r="C20" s="74"/>
      <c r="D20" s="76">
        <v>46096.0</v>
      </c>
      <c r="E20" s="78" t="s">
        <v>25</v>
      </c>
      <c r="F20" s="85"/>
      <c r="G20" s="80">
        <v>-404.05</v>
      </c>
      <c r="H20" s="45">
        <f t="shared" si="1"/>
        <v>-14488.99</v>
      </c>
      <c r="I20" s="81"/>
    </row>
    <row r="21">
      <c r="A21" s="20" t="s">
        <v>18</v>
      </c>
      <c r="B21" s="73" t="s">
        <v>105</v>
      </c>
      <c r="C21" s="74"/>
      <c r="D21" s="76">
        <v>46096.0</v>
      </c>
      <c r="E21" s="78" t="s">
        <v>25</v>
      </c>
      <c r="F21" s="85"/>
      <c r="G21" s="80">
        <v>-400.0</v>
      </c>
      <c r="H21" s="45">
        <f t="shared" si="1"/>
        <v>-14888.99</v>
      </c>
      <c r="I21" s="81"/>
    </row>
    <row r="22">
      <c r="A22" s="20" t="s">
        <v>18</v>
      </c>
      <c r="B22" s="73" t="s">
        <v>109</v>
      </c>
      <c r="C22" s="74"/>
      <c r="D22" s="76">
        <v>46096.0</v>
      </c>
      <c r="E22" s="78" t="s">
        <v>25</v>
      </c>
      <c r="F22" s="85"/>
      <c r="G22" s="80">
        <v>-368.02</v>
      </c>
      <c r="H22" s="45">
        <f t="shared" si="1"/>
        <v>-15257.01</v>
      </c>
      <c r="I22" s="81"/>
    </row>
    <row r="23">
      <c r="A23" s="20" t="s">
        <v>18</v>
      </c>
      <c r="B23" s="73" t="s">
        <v>111</v>
      </c>
      <c r="C23" s="74"/>
      <c r="D23" s="76">
        <v>46096.0</v>
      </c>
      <c r="E23" s="78" t="s">
        <v>25</v>
      </c>
      <c r="F23" s="85"/>
      <c r="G23" s="80">
        <v>-350.94</v>
      </c>
      <c r="H23" s="45">
        <f t="shared" si="1"/>
        <v>-15607.95</v>
      </c>
      <c r="I23" s="81"/>
    </row>
    <row r="24">
      <c r="A24" s="20" t="s">
        <v>18</v>
      </c>
      <c r="B24" s="73" t="s">
        <v>115</v>
      </c>
      <c r="C24" s="74"/>
      <c r="D24" s="76">
        <v>46098.0</v>
      </c>
      <c r="E24" s="78" t="s">
        <v>25</v>
      </c>
      <c r="F24" s="85"/>
      <c r="G24" s="80">
        <v>-794.84</v>
      </c>
      <c r="H24" s="45">
        <f t="shared" si="1"/>
        <v>-16402.79</v>
      </c>
      <c r="I24" s="81"/>
    </row>
    <row r="25">
      <c r="A25" s="20" t="s">
        <v>18</v>
      </c>
      <c r="B25" s="90" t="s">
        <v>119</v>
      </c>
      <c r="C25" s="92" t="s">
        <v>77</v>
      </c>
      <c r="D25" s="94">
        <v>46107.0</v>
      </c>
      <c r="E25" s="78" t="s">
        <v>25</v>
      </c>
      <c r="F25" s="95" t="s">
        <v>58</v>
      </c>
      <c r="G25" s="96">
        <v>-400.0</v>
      </c>
      <c r="H25" s="45">
        <f t="shared" si="1"/>
        <v>-16802.79</v>
      </c>
      <c r="I25" s="81"/>
    </row>
    <row r="26">
      <c r="A26" s="20" t="s">
        <v>18</v>
      </c>
      <c r="B26" s="90" t="s">
        <v>120</v>
      </c>
      <c r="C26" s="100"/>
      <c r="D26" s="94">
        <v>46107.0</v>
      </c>
      <c r="E26" s="78" t="s">
        <v>25</v>
      </c>
      <c r="F26" s="95" t="s">
        <v>43</v>
      </c>
      <c r="G26" s="96">
        <v>-600.11</v>
      </c>
      <c r="H26" s="45">
        <f t="shared" si="1"/>
        <v>-17402.9</v>
      </c>
      <c r="I26" s="81"/>
    </row>
    <row r="27">
      <c r="A27" s="20" t="s">
        <v>18</v>
      </c>
      <c r="B27" s="35" t="s">
        <v>121</v>
      </c>
      <c r="C27" s="38" t="s">
        <v>77</v>
      </c>
      <c r="D27" s="76">
        <v>46108.0</v>
      </c>
      <c r="E27" s="20" t="s">
        <v>25</v>
      </c>
      <c r="F27" s="20" t="s">
        <v>43</v>
      </c>
      <c r="G27" s="51">
        <v>-1408.34</v>
      </c>
      <c r="H27" s="45">
        <f t="shared" si="1"/>
        <v>-18811.24</v>
      </c>
      <c r="I27" s="81"/>
    </row>
    <row r="28">
      <c r="A28" s="20" t="s">
        <v>18</v>
      </c>
      <c r="B28" s="90" t="s">
        <v>122</v>
      </c>
      <c r="C28" s="100"/>
      <c r="D28" s="94">
        <v>46111.0</v>
      </c>
      <c r="E28" s="78" t="s">
        <v>25</v>
      </c>
      <c r="F28" s="102"/>
      <c r="G28" s="96">
        <v>-269.82</v>
      </c>
      <c r="H28" s="45">
        <f t="shared" si="1"/>
        <v>-19081.06</v>
      </c>
      <c r="I28" s="81"/>
    </row>
    <row r="29">
      <c r="A29" s="20" t="s">
        <v>18</v>
      </c>
      <c r="B29" s="90" t="s">
        <v>124</v>
      </c>
      <c r="C29" s="92" t="s">
        <v>125</v>
      </c>
      <c r="D29" s="94">
        <v>46111.0</v>
      </c>
      <c r="E29" s="78" t="s">
        <v>25</v>
      </c>
      <c r="F29" s="102"/>
      <c r="G29" s="96">
        <v>-1665.0</v>
      </c>
      <c r="H29" s="45">
        <f t="shared" si="1"/>
        <v>-20746.06</v>
      </c>
      <c r="I29" s="81"/>
    </row>
    <row r="30">
      <c r="A30" s="20" t="s">
        <v>18</v>
      </c>
      <c r="B30" s="90" t="s">
        <v>128</v>
      </c>
      <c r="C30" s="100"/>
      <c r="D30" s="94">
        <v>46113.0</v>
      </c>
      <c r="E30" s="78" t="s">
        <v>25</v>
      </c>
      <c r="F30" s="95" t="s">
        <v>58</v>
      </c>
      <c r="G30" s="96">
        <v>-102.0</v>
      </c>
      <c r="H30" s="45">
        <f t="shared" si="1"/>
        <v>-20848.06</v>
      </c>
      <c r="I30" s="81"/>
    </row>
    <row r="31">
      <c r="A31" s="20" t="s">
        <v>18</v>
      </c>
      <c r="B31" s="90" t="s">
        <v>130</v>
      </c>
      <c r="C31" s="92" t="s">
        <v>131</v>
      </c>
      <c r="D31" s="94">
        <v>46119.0</v>
      </c>
      <c r="E31" s="78" t="s">
        <v>25</v>
      </c>
      <c r="F31" s="85"/>
      <c r="G31" s="96">
        <v>-250.0</v>
      </c>
      <c r="H31" s="45">
        <f t="shared" si="1"/>
        <v>-21098.06</v>
      </c>
      <c r="I31" s="81"/>
    </row>
    <row r="32">
      <c r="A32" s="20" t="s">
        <v>18</v>
      </c>
      <c r="B32" s="90" t="s">
        <v>132</v>
      </c>
      <c r="C32" s="92" t="s">
        <v>134</v>
      </c>
      <c r="D32" s="94">
        <v>46119.0</v>
      </c>
      <c r="E32" s="78" t="s">
        <v>25</v>
      </c>
      <c r="F32" s="85"/>
      <c r="G32" s="96">
        <v>-237.0</v>
      </c>
      <c r="H32" s="45">
        <f t="shared" si="1"/>
        <v>-21335.06</v>
      </c>
      <c r="I32" s="81"/>
    </row>
    <row r="33">
      <c r="A33" s="20" t="s">
        <v>18</v>
      </c>
      <c r="B33" s="73" t="s">
        <v>136</v>
      </c>
      <c r="C33" s="103" t="s">
        <v>77</v>
      </c>
      <c r="D33" s="76">
        <v>46120.0</v>
      </c>
      <c r="E33" s="78" t="s">
        <v>25</v>
      </c>
      <c r="F33" s="85"/>
      <c r="G33" s="80">
        <v>-1621.0</v>
      </c>
      <c r="H33" s="45">
        <f t="shared" si="1"/>
        <v>-22956.06</v>
      </c>
      <c r="I33" s="81"/>
    </row>
    <row r="34">
      <c r="A34" s="20" t="s">
        <v>18</v>
      </c>
      <c r="B34" s="73" t="s">
        <v>59</v>
      </c>
      <c r="C34" s="74"/>
      <c r="D34" s="76">
        <v>46128.0</v>
      </c>
      <c r="E34" s="78" t="s">
        <v>25</v>
      </c>
      <c r="F34" s="78" t="s">
        <v>43</v>
      </c>
      <c r="G34" s="80">
        <v>-353.25</v>
      </c>
      <c r="H34" s="45">
        <f t="shared" si="1"/>
        <v>-23309.31</v>
      </c>
      <c r="I34" s="81"/>
    </row>
    <row r="35">
      <c r="A35" s="20" t="s">
        <v>18</v>
      </c>
      <c r="B35" s="73" t="s">
        <v>138</v>
      </c>
      <c r="C35" s="74"/>
      <c r="D35" s="76">
        <v>46128.0</v>
      </c>
      <c r="E35" s="78" t="s">
        <v>25</v>
      </c>
      <c r="F35" s="78" t="s">
        <v>58</v>
      </c>
      <c r="G35" s="80">
        <v>-400.0</v>
      </c>
      <c r="H35" s="45">
        <f t="shared" si="1"/>
        <v>-23709.31</v>
      </c>
      <c r="I35" s="81"/>
    </row>
    <row r="36">
      <c r="A36" s="20" t="s">
        <v>18</v>
      </c>
      <c r="B36" s="90" t="s">
        <v>139</v>
      </c>
      <c r="C36" s="92"/>
      <c r="D36" s="94">
        <v>46129.0</v>
      </c>
      <c r="E36" s="78" t="s">
        <v>25</v>
      </c>
      <c r="F36" s="104"/>
      <c r="G36" s="96">
        <v>-71.92</v>
      </c>
      <c r="H36" s="45">
        <f t="shared" si="1"/>
        <v>-23781.23</v>
      </c>
      <c r="I36" s="81"/>
    </row>
    <row r="37">
      <c r="A37" s="20" t="s">
        <v>18</v>
      </c>
      <c r="B37" s="90" t="s">
        <v>140</v>
      </c>
      <c r="C37" s="92" t="s">
        <v>141</v>
      </c>
      <c r="D37" s="94">
        <v>46129.0</v>
      </c>
      <c r="E37" s="78" t="s">
        <v>25</v>
      </c>
      <c r="F37" s="78" t="s">
        <v>43</v>
      </c>
      <c r="G37" s="96">
        <v>-368.02</v>
      </c>
      <c r="H37" s="45">
        <f t="shared" si="1"/>
        <v>-24149.25</v>
      </c>
      <c r="I37" s="81"/>
    </row>
    <row r="38">
      <c r="A38" s="20" t="s">
        <v>144</v>
      </c>
      <c r="B38" s="105" t="s">
        <v>145</v>
      </c>
      <c r="C38" s="106"/>
      <c r="D38" s="107">
        <v>46129.0</v>
      </c>
      <c r="E38" s="78" t="s">
        <v>25</v>
      </c>
      <c r="F38" s="108"/>
      <c r="G38" s="109">
        <v>5000.0</v>
      </c>
      <c r="H38" s="45">
        <f t="shared" si="1"/>
        <v>-19149.25</v>
      </c>
      <c r="I38" s="110"/>
      <c r="J38" s="111"/>
      <c r="K38" s="111"/>
    </row>
    <row r="39">
      <c r="A39" s="20" t="s">
        <v>18</v>
      </c>
      <c r="B39" s="90" t="s">
        <v>119</v>
      </c>
      <c r="C39" s="92" t="s">
        <v>125</v>
      </c>
      <c r="D39" s="94">
        <v>46129.0</v>
      </c>
      <c r="E39" s="78" t="s">
        <v>25</v>
      </c>
      <c r="F39" s="85"/>
      <c r="G39" s="96">
        <v>-400.0</v>
      </c>
      <c r="H39" s="45">
        <f t="shared" si="1"/>
        <v>-19549.25</v>
      </c>
      <c r="I39" s="81"/>
    </row>
    <row r="40">
      <c r="A40" s="20" t="s">
        <v>18</v>
      </c>
      <c r="B40" s="68" t="s">
        <v>150</v>
      </c>
      <c r="C40" s="100"/>
      <c r="D40" s="94">
        <v>46139.0</v>
      </c>
      <c r="E40" s="78" t="s">
        <v>25</v>
      </c>
      <c r="F40" s="85"/>
      <c r="G40" s="72">
        <v>-1408.34</v>
      </c>
      <c r="H40" s="45">
        <f t="shared" si="1"/>
        <v>-20957.59</v>
      </c>
      <c r="I40" s="81"/>
    </row>
    <row r="41">
      <c r="A41" s="20" t="s">
        <v>18</v>
      </c>
      <c r="B41" s="73" t="s">
        <v>153</v>
      </c>
      <c r="C41" s="103"/>
      <c r="D41" s="76">
        <v>46142.0</v>
      </c>
      <c r="E41" s="78" t="s">
        <v>25</v>
      </c>
      <c r="F41" s="104"/>
      <c r="G41" s="80">
        <v>-338.51</v>
      </c>
      <c r="H41" s="45">
        <f t="shared" si="1"/>
        <v>-21296.1</v>
      </c>
      <c r="I41" s="81"/>
    </row>
    <row r="42">
      <c r="A42" s="20" t="s">
        <v>18</v>
      </c>
      <c r="B42" s="73" t="s">
        <v>154</v>
      </c>
      <c r="C42" s="74"/>
      <c r="D42" s="76">
        <v>46142.0</v>
      </c>
      <c r="E42" s="78" t="s">
        <v>25</v>
      </c>
      <c r="F42" s="78" t="s">
        <v>58</v>
      </c>
      <c r="G42" s="80">
        <v>-450.0</v>
      </c>
      <c r="H42" s="45">
        <f t="shared" si="1"/>
        <v>-21746.1</v>
      </c>
      <c r="I42" s="81"/>
    </row>
    <row r="43">
      <c r="A43" s="20" t="s">
        <v>18</v>
      </c>
      <c r="B43" s="73" t="s">
        <v>124</v>
      </c>
      <c r="C43" s="74"/>
      <c r="D43" s="76">
        <v>46142.0</v>
      </c>
      <c r="E43" s="78" t="s">
        <v>25</v>
      </c>
      <c r="F43" s="78" t="s">
        <v>58</v>
      </c>
      <c r="G43" s="80">
        <v>-1480.0</v>
      </c>
      <c r="H43" s="45">
        <f t="shared" si="1"/>
        <v>-23226.1</v>
      </c>
      <c r="I43" s="81"/>
    </row>
    <row r="44">
      <c r="A44" s="20" t="s">
        <v>18</v>
      </c>
      <c r="B44" s="73" t="s">
        <v>122</v>
      </c>
      <c r="C44" s="74"/>
      <c r="D44" s="76">
        <v>46142.0</v>
      </c>
      <c r="E44" s="78" t="s">
        <v>25</v>
      </c>
      <c r="F44" s="78" t="s">
        <v>58</v>
      </c>
      <c r="G44" s="80">
        <v>-14.97</v>
      </c>
      <c r="H44" s="45">
        <f t="shared" si="1"/>
        <v>-23241.07</v>
      </c>
      <c r="I44" s="81"/>
    </row>
    <row r="45">
      <c r="A45" s="20" t="s">
        <v>18</v>
      </c>
      <c r="B45" s="73" t="s">
        <v>157</v>
      </c>
      <c r="C45" s="103"/>
      <c r="D45" s="76">
        <v>46144.0</v>
      </c>
      <c r="E45" s="78" t="s">
        <v>158</v>
      </c>
      <c r="F45" s="78" t="s">
        <v>58</v>
      </c>
      <c r="G45" s="80">
        <v>-150.0</v>
      </c>
      <c r="H45" s="45">
        <f t="shared" si="1"/>
        <v>-23391.07</v>
      </c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</row>
    <row r="46">
      <c r="A46" s="20" t="s">
        <v>18</v>
      </c>
      <c r="B46" s="90" t="s">
        <v>136</v>
      </c>
      <c r="C46" s="100"/>
      <c r="D46" s="94">
        <v>46153.0</v>
      </c>
      <c r="E46" s="78" t="s">
        <v>25</v>
      </c>
      <c r="F46" s="85"/>
      <c r="G46" s="96">
        <v>-1621.0</v>
      </c>
      <c r="H46" s="45">
        <f t="shared" si="1"/>
        <v>-25012.07</v>
      </c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</row>
    <row r="47">
      <c r="A47" s="20" t="s">
        <v>144</v>
      </c>
      <c r="B47" s="105" t="s">
        <v>145</v>
      </c>
      <c r="C47" s="106"/>
      <c r="D47" s="107">
        <v>46153.0</v>
      </c>
      <c r="E47" s="113" t="s">
        <v>25</v>
      </c>
      <c r="F47" s="108"/>
      <c r="G47" s="72">
        <v>5000.0</v>
      </c>
      <c r="H47" s="45">
        <f t="shared" si="1"/>
        <v>-20012.07</v>
      </c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</row>
    <row r="48">
      <c r="A48" s="20" t="s">
        <v>18</v>
      </c>
      <c r="B48" s="73" t="s">
        <v>119</v>
      </c>
      <c r="C48" s="74"/>
      <c r="D48" s="76">
        <v>46158.0</v>
      </c>
      <c r="E48" s="78" t="s">
        <v>25</v>
      </c>
      <c r="F48" s="85"/>
      <c r="G48" s="80">
        <v>-400.0</v>
      </c>
      <c r="H48" s="45">
        <f t="shared" si="1"/>
        <v>-20412.07</v>
      </c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</row>
    <row r="49">
      <c r="A49" s="20" t="s">
        <v>18</v>
      </c>
      <c r="B49" s="73" t="s">
        <v>59</v>
      </c>
      <c r="C49" s="74"/>
      <c r="D49" s="76">
        <v>46158.0</v>
      </c>
      <c r="E49" s="78" t="s">
        <v>25</v>
      </c>
      <c r="F49" s="85"/>
      <c r="G49" s="80">
        <v>-353.25</v>
      </c>
      <c r="H49" s="45">
        <f t="shared" si="1"/>
        <v>-20765.32</v>
      </c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</row>
    <row r="50">
      <c r="A50" s="20" t="s">
        <v>18</v>
      </c>
      <c r="B50" s="73" t="s">
        <v>63</v>
      </c>
      <c r="C50" s="74"/>
      <c r="D50" s="76">
        <v>46158.0</v>
      </c>
      <c r="E50" s="78" t="s">
        <v>25</v>
      </c>
      <c r="F50" s="85"/>
      <c r="G50" s="80">
        <v>-368.02</v>
      </c>
      <c r="H50" s="45">
        <f t="shared" si="1"/>
        <v>-21133.34</v>
      </c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</row>
    <row r="51">
      <c r="A51" s="20" t="s">
        <v>18</v>
      </c>
      <c r="B51" s="73" t="s">
        <v>138</v>
      </c>
      <c r="C51" s="74"/>
      <c r="D51" s="76">
        <v>46158.0</v>
      </c>
      <c r="E51" s="78" t="s">
        <v>25</v>
      </c>
      <c r="F51" s="85"/>
      <c r="G51" s="80">
        <v>-400.0</v>
      </c>
      <c r="H51" s="45">
        <f t="shared" si="1"/>
        <v>-21533.34</v>
      </c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</row>
    <row r="52">
      <c r="A52" s="20" t="s">
        <v>18</v>
      </c>
      <c r="B52" s="73" t="s">
        <v>111</v>
      </c>
      <c r="C52" s="74"/>
      <c r="D52" s="76">
        <v>46162.0</v>
      </c>
      <c r="E52" s="78" t="s">
        <v>25</v>
      </c>
      <c r="F52" s="85"/>
      <c r="G52" s="80">
        <v>-978.48</v>
      </c>
      <c r="H52" s="45">
        <f t="shared" si="1"/>
        <v>-22511.82</v>
      </c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</row>
    <row r="53">
      <c r="A53" s="20" t="s">
        <v>18</v>
      </c>
      <c r="B53" s="90" t="s">
        <v>166</v>
      </c>
      <c r="C53" s="100"/>
      <c r="D53" s="94">
        <v>46171.0</v>
      </c>
      <c r="E53" s="78" t="s">
        <v>158</v>
      </c>
      <c r="F53" s="78" t="s">
        <v>43</v>
      </c>
      <c r="G53" s="96">
        <v>-60.61</v>
      </c>
      <c r="H53" s="45">
        <f t="shared" si="1"/>
        <v>-22572.43</v>
      </c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</row>
    <row r="54">
      <c r="A54" s="20" t="s">
        <v>18</v>
      </c>
      <c r="B54" s="90" t="s">
        <v>124</v>
      </c>
      <c r="C54" s="100"/>
      <c r="D54" s="94">
        <v>46171.0</v>
      </c>
      <c r="E54" s="78" t="s">
        <v>25</v>
      </c>
      <c r="F54" s="78" t="s">
        <v>58</v>
      </c>
      <c r="G54" s="96">
        <v>-1480.0</v>
      </c>
      <c r="H54" s="45">
        <f t="shared" si="1"/>
        <v>-24052.43</v>
      </c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</row>
    <row r="55">
      <c r="A55" s="20" t="s">
        <v>18</v>
      </c>
      <c r="B55" s="73" t="s">
        <v>168</v>
      </c>
      <c r="C55" s="114" t="s">
        <v>169</v>
      </c>
      <c r="D55" s="76">
        <v>46189.0</v>
      </c>
      <c r="E55" s="78" t="s">
        <v>25</v>
      </c>
      <c r="F55" s="115"/>
      <c r="G55" s="116">
        <v>-85.0</v>
      </c>
      <c r="H55" s="45">
        <f t="shared" si="1"/>
        <v>-24137.43</v>
      </c>
      <c r="I55" s="16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</row>
    <row r="56">
      <c r="A56" s="20" t="s">
        <v>18</v>
      </c>
      <c r="B56" s="73" t="s">
        <v>170</v>
      </c>
      <c r="C56" s="74"/>
      <c r="D56" s="76">
        <v>46189.0</v>
      </c>
      <c r="E56" s="78" t="s">
        <v>25</v>
      </c>
      <c r="F56" s="85"/>
      <c r="G56" s="80">
        <v>-0.76</v>
      </c>
      <c r="H56" s="45">
        <f t="shared" si="1"/>
        <v>-24138.19</v>
      </c>
      <c r="I56" s="81"/>
    </row>
    <row r="57">
      <c r="A57" s="20" t="s">
        <v>18</v>
      </c>
      <c r="B57" s="90" t="s">
        <v>171</v>
      </c>
      <c r="C57" s="74"/>
      <c r="D57" s="94">
        <v>46218.0</v>
      </c>
      <c r="E57" s="78" t="s">
        <v>25</v>
      </c>
      <c r="F57" s="104"/>
      <c r="G57" s="96">
        <v>-297.67</v>
      </c>
      <c r="H57" s="45">
        <f t="shared" si="1"/>
        <v>-24435.86</v>
      </c>
      <c r="I57" s="81"/>
    </row>
    <row r="58">
      <c r="A58" s="20" t="s">
        <v>18</v>
      </c>
      <c r="B58" s="73" t="s">
        <v>172</v>
      </c>
      <c r="C58" s="74"/>
      <c r="D58" s="76">
        <v>46226.0</v>
      </c>
      <c r="E58" s="78" t="s">
        <v>25</v>
      </c>
      <c r="F58" s="85"/>
      <c r="G58" s="80">
        <v>12033.13</v>
      </c>
      <c r="H58" s="45">
        <f t="shared" si="1"/>
        <v>-12402.73</v>
      </c>
      <c r="I58" s="81"/>
    </row>
    <row r="59">
      <c r="A59" s="20" t="s">
        <v>18</v>
      </c>
      <c r="B59" s="90" t="s">
        <v>174</v>
      </c>
      <c r="C59" s="74"/>
      <c r="D59" s="120">
        <v>46227.0</v>
      </c>
      <c r="E59" s="78" t="s">
        <v>25</v>
      </c>
      <c r="F59" s="85"/>
      <c r="G59" s="96">
        <v>-1480.0</v>
      </c>
      <c r="H59" s="45">
        <f t="shared" si="1"/>
        <v>-13882.73</v>
      </c>
      <c r="I59" s="81"/>
    </row>
    <row r="60">
      <c r="A60" s="20" t="s">
        <v>18</v>
      </c>
      <c r="B60" s="90" t="s">
        <v>175</v>
      </c>
      <c r="C60" s="74"/>
      <c r="D60" s="121">
        <v>46227.0</v>
      </c>
      <c r="E60" s="78" t="s">
        <v>25</v>
      </c>
      <c r="F60" s="85"/>
      <c r="G60" s="96">
        <v>-400.0</v>
      </c>
      <c r="H60" s="45">
        <f t="shared" si="1"/>
        <v>-14282.73</v>
      </c>
      <c r="I60" s="81"/>
    </row>
    <row r="61">
      <c r="A61" s="20" t="s">
        <v>18</v>
      </c>
      <c r="B61" s="90" t="s">
        <v>178</v>
      </c>
      <c r="C61" s="74"/>
      <c r="D61" s="120">
        <v>46227.0</v>
      </c>
      <c r="E61" s="78" t="s">
        <v>25</v>
      </c>
      <c r="F61" s="85"/>
      <c r="G61" s="96">
        <v>-1350.0</v>
      </c>
      <c r="H61" s="45">
        <f t="shared" si="1"/>
        <v>-15632.73</v>
      </c>
      <c r="I61" s="81"/>
    </row>
    <row r="62">
      <c r="A62" s="20" t="s">
        <v>18</v>
      </c>
      <c r="B62" s="90" t="s">
        <v>179</v>
      </c>
      <c r="C62" s="74"/>
      <c r="D62" s="121">
        <v>46227.0</v>
      </c>
      <c r="E62" s="78" t="s">
        <v>25</v>
      </c>
      <c r="F62" s="78" t="s">
        <v>58</v>
      </c>
      <c r="G62" s="96">
        <v>-550.28</v>
      </c>
      <c r="H62" s="45">
        <f t="shared" si="1"/>
        <v>-16183.01</v>
      </c>
      <c r="I62" s="81"/>
    </row>
    <row r="63">
      <c r="A63" s="20" t="s">
        <v>18</v>
      </c>
      <c r="B63" s="90" t="s">
        <v>181</v>
      </c>
      <c r="C63" s="100"/>
      <c r="D63" s="120">
        <v>46227.0</v>
      </c>
      <c r="E63" s="78" t="s">
        <v>25</v>
      </c>
      <c r="F63" s="102"/>
      <c r="G63" s="96">
        <v>-368.02</v>
      </c>
      <c r="H63" s="45">
        <f t="shared" si="1"/>
        <v>-16551.03</v>
      </c>
      <c r="I63" s="81"/>
    </row>
    <row r="64">
      <c r="A64" s="20" t="s">
        <v>18</v>
      </c>
      <c r="B64" s="90" t="s">
        <v>183</v>
      </c>
      <c r="C64" s="100"/>
      <c r="D64" s="121">
        <v>46227.0</v>
      </c>
      <c r="E64" s="78" t="s">
        <v>25</v>
      </c>
      <c r="F64" s="102"/>
      <c r="G64" s="96">
        <v>-297.67</v>
      </c>
      <c r="H64" s="45">
        <f t="shared" si="1"/>
        <v>-16848.7</v>
      </c>
      <c r="I64" s="81"/>
    </row>
    <row r="65">
      <c r="A65" s="20" t="s">
        <v>18</v>
      </c>
      <c r="B65" s="90" t="s">
        <v>184</v>
      </c>
      <c r="C65" s="100"/>
      <c r="D65" s="120">
        <v>46227.0</v>
      </c>
      <c r="E65" s="78" t="s">
        <v>25</v>
      </c>
      <c r="F65" s="102"/>
      <c r="G65" s="96">
        <v>-400.0</v>
      </c>
      <c r="H65" s="45">
        <f t="shared" si="1"/>
        <v>-17248.7</v>
      </c>
      <c r="I65" s="81"/>
    </row>
    <row r="66">
      <c r="A66" s="20" t="s">
        <v>18</v>
      </c>
      <c r="B66" s="122"/>
      <c r="C66" s="100"/>
      <c r="D66" s="123"/>
      <c r="E66" s="78" t="s">
        <v>25</v>
      </c>
      <c r="F66" s="102"/>
      <c r="G66" s="80">
        <v>0.0</v>
      </c>
      <c r="H66" s="45">
        <f t="shared" si="1"/>
        <v>-17248.7</v>
      </c>
      <c r="I66" s="81"/>
    </row>
    <row r="67">
      <c r="A67" s="125" t="s">
        <v>18</v>
      </c>
      <c r="B67" s="73" t="s">
        <v>153</v>
      </c>
      <c r="C67" s="126"/>
      <c r="D67" s="120">
        <v>46227.0</v>
      </c>
      <c r="E67" s="127" t="s">
        <v>25</v>
      </c>
      <c r="F67" s="128"/>
      <c r="G67" s="80">
        <v>-958.7</v>
      </c>
      <c r="H67" s="45">
        <f t="shared" si="1"/>
        <v>-18207.4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>
      <c r="A68" s="125" t="s">
        <v>18</v>
      </c>
      <c r="B68" s="73" t="s">
        <v>168</v>
      </c>
      <c r="C68" s="126"/>
      <c r="D68" s="121">
        <v>46227.0</v>
      </c>
      <c r="E68" s="127" t="s">
        <v>25</v>
      </c>
      <c r="F68" s="128"/>
      <c r="G68" s="80">
        <v>-102.0</v>
      </c>
      <c r="H68" s="45">
        <f t="shared" si="1"/>
        <v>-18309.4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>
      <c r="A69" s="125" t="s">
        <v>18</v>
      </c>
      <c r="B69" s="73" t="s">
        <v>192</v>
      </c>
      <c r="C69" s="126"/>
      <c r="D69" s="120">
        <v>46227.0</v>
      </c>
      <c r="E69" s="127" t="s">
        <v>25</v>
      </c>
      <c r="F69" s="128"/>
      <c r="G69" s="80">
        <v>-900.0</v>
      </c>
      <c r="H69" s="45">
        <f t="shared" si="1"/>
        <v>-19209.4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>
      <c r="A70" s="125" t="s">
        <v>18</v>
      </c>
      <c r="B70" s="73" t="s">
        <v>194</v>
      </c>
      <c r="C70" s="126"/>
      <c r="D70" s="76">
        <v>46227.0</v>
      </c>
      <c r="E70" s="127" t="s">
        <v>158</v>
      </c>
      <c r="F70" s="128"/>
      <c r="G70" s="80">
        <v>0.0</v>
      </c>
      <c r="H70" s="45">
        <f t="shared" si="1"/>
        <v>-19209.4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>
      <c r="A71" s="125" t="s">
        <v>18</v>
      </c>
      <c r="B71" s="90" t="s">
        <v>69</v>
      </c>
      <c r="C71" s="126"/>
      <c r="D71" s="130">
        <v>46237.0</v>
      </c>
      <c r="E71" s="127" t="s">
        <v>25</v>
      </c>
      <c r="F71" s="128"/>
      <c r="G71" s="96">
        <v>-400.0</v>
      </c>
      <c r="H71" s="45">
        <f t="shared" si="1"/>
        <v>-19609.4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>
      <c r="A72" s="125" t="s">
        <v>18</v>
      </c>
      <c r="B72" s="131" t="s">
        <v>124</v>
      </c>
      <c r="C72" s="126"/>
      <c r="D72" s="132">
        <v>46237.0</v>
      </c>
      <c r="E72" s="127" t="s">
        <v>25</v>
      </c>
      <c r="F72" s="128"/>
      <c r="G72" s="133">
        <v>-1480.0</v>
      </c>
      <c r="H72" s="45">
        <f t="shared" si="1"/>
        <v>-21089.4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>
      <c r="A73" s="125" t="s">
        <v>18</v>
      </c>
      <c r="B73" s="134" t="s">
        <v>63</v>
      </c>
      <c r="C73" s="126"/>
      <c r="D73" s="135">
        <v>46237.0</v>
      </c>
      <c r="E73" s="127" t="s">
        <v>25</v>
      </c>
      <c r="F73" s="128"/>
      <c r="G73" s="136">
        <v>-368.02</v>
      </c>
      <c r="H73" s="45">
        <f t="shared" si="1"/>
        <v>-21457.42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>
      <c r="A74" s="125" t="s">
        <v>18</v>
      </c>
      <c r="B74" s="134" t="s">
        <v>199</v>
      </c>
      <c r="C74" s="126"/>
      <c r="D74" s="135">
        <v>46237.0</v>
      </c>
      <c r="E74" s="127" t="s">
        <v>25</v>
      </c>
      <c r="F74" s="128"/>
      <c r="G74" s="136">
        <v>-400.0</v>
      </c>
      <c r="H74" s="45">
        <f t="shared" si="1"/>
        <v>-21857.42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>
      <c r="A75" s="125" t="s">
        <v>18</v>
      </c>
      <c r="B75" s="134" t="s">
        <v>200</v>
      </c>
      <c r="C75" s="126"/>
      <c r="D75" s="135">
        <v>46239.0</v>
      </c>
      <c r="E75" s="127" t="s">
        <v>25</v>
      </c>
      <c r="F75" s="128"/>
      <c r="G75" s="136">
        <v>-302.15</v>
      </c>
      <c r="H75" s="45">
        <f t="shared" si="1"/>
        <v>-22159.57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</row>
    <row r="76">
      <c r="A76" s="81"/>
      <c r="B76" s="81"/>
      <c r="C76" s="81"/>
      <c r="D76" s="81"/>
      <c r="E76" s="81"/>
      <c r="F76" s="81"/>
      <c r="G76" s="138"/>
      <c r="H76" s="138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>
      <c r="A77" s="81"/>
      <c r="B77" s="81"/>
      <c r="C77" s="81"/>
      <c r="D77" s="81"/>
      <c r="E77" s="81"/>
      <c r="F77" s="81"/>
      <c r="G77" s="138"/>
      <c r="H77" s="138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</row>
    <row r="78">
      <c r="A78" s="81"/>
      <c r="B78" s="81"/>
      <c r="C78" s="81"/>
      <c r="D78" s="81"/>
      <c r="E78" s="81"/>
      <c r="F78" s="81"/>
      <c r="G78" s="138"/>
      <c r="H78" s="138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>
      <c r="A79" s="81"/>
      <c r="B79" s="81"/>
      <c r="C79" s="81"/>
      <c r="D79" s="81"/>
      <c r="E79" s="81"/>
      <c r="F79" s="81"/>
      <c r="G79" s="138"/>
      <c r="H79" s="138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>
      <c r="A80" s="81"/>
      <c r="B80" s="81"/>
      <c r="C80" s="81"/>
      <c r="D80" s="81"/>
      <c r="E80" s="81"/>
      <c r="F80" s="81"/>
      <c r="G80" s="138"/>
      <c r="H80" s="138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>
      <c r="A81" s="81"/>
      <c r="B81" s="81"/>
      <c r="C81" s="81"/>
      <c r="D81" s="81"/>
      <c r="E81" s="81"/>
      <c r="F81" s="81"/>
      <c r="G81" s="138"/>
      <c r="H81" s="138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>
      <c r="A82" s="81"/>
      <c r="B82" s="81"/>
      <c r="C82" s="81"/>
      <c r="D82" s="81"/>
      <c r="E82" s="81"/>
      <c r="F82" s="81"/>
      <c r="G82" s="138"/>
      <c r="H82" s="138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>
      <c r="A83" s="81"/>
      <c r="B83" s="81"/>
      <c r="C83" s="81"/>
      <c r="D83" s="81"/>
      <c r="E83" s="81"/>
      <c r="F83" s="81"/>
      <c r="G83" s="138"/>
      <c r="H83" s="138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>
      <c r="A84" s="81"/>
      <c r="B84" s="81"/>
      <c r="C84" s="81"/>
      <c r="D84" s="81"/>
      <c r="E84" s="81"/>
      <c r="F84" s="81"/>
      <c r="G84" s="138"/>
      <c r="H84" s="138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>
      <c r="A85" s="81"/>
      <c r="B85" s="81"/>
      <c r="C85" s="81"/>
      <c r="D85" s="81"/>
      <c r="E85" s="81"/>
      <c r="F85" s="81"/>
      <c r="G85" s="138"/>
      <c r="H85" s="138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>
      <c r="A86" s="81"/>
      <c r="B86" s="81"/>
      <c r="C86" s="81"/>
      <c r="D86" s="81"/>
      <c r="E86" s="81"/>
      <c r="F86" s="81"/>
      <c r="G86" s="138"/>
      <c r="H86" s="138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>
      <c r="A87" s="81"/>
      <c r="B87" s="81"/>
      <c r="C87" s="81"/>
      <c r="D87" s="81"/>
      <c r="E87" s="81"/>
      <c r="F87" s="81"/>
      <c r="G87" s="138"/>
      <c r="H87" s="138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>
      <c r="A88" s="81"/>
      <c r="B88" s="81"/>
      <c r="C88" s="81"/>
      <c r="D88" s="81"/>
      <c r="E88" s="81"/>
      <c r="F88" s="81"/>
      <c r="G88" s="138"/>
      <c r="H88" s="138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>
      <c r="A89" s="81"/>
      <c r="B89" s="81"/>
      <c r="C89" s="81"/>
      <c r="D89" s="81"/>
      <c r="E89" s="81"/>
      <c r="F89" s="81"/>
      <c r="G89" s="138"/>
      <c r="H89" s="138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>
      <c r="A90" s="81"/>
      <c r="B90" s="81"/>
      <c r="C90" s="81"/>
      <c r="D90" s="81"/>
      <c r="E90" s="81"/>
      <c r="F90" s="81"/>
      <c r="G90" s="138"/>
      <c r="H90" s="138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>
      <c r="A91" s="81"/>
      <c r="B91" s="81"/>
      <c r="C91" s="81"/>
      <c r="D91" s="81"/>
      <c r="E91" s="81"/>
      <c r="F91" s="81"/>
      <c r="G91" s="138"/>
      <c r="H91" s="138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>
      <c r="A92" s="81"/>
      <c r="B92" s="81"/>
      <c r="C92" s="81"/>
      <c r="D92" s="81"/>
      <c r="E92" s="81"/>
      <c r="F92" s="81"/>
      <c r="G92" s="138"/>
      <c r="H92" s="138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>
      <c r="A93" s="81"/>
      <c r="B93" s="81"/>
      <c r="C93" s="81"/>
      <c r="D93" s="81"/>
      <c r="E93" s="81"/>
      <c r="F93" s="81"/>
      <c r="G93" s="138"/>
      <c r="H93" s="138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>
      <c r="A94" s="81"/>
      <c r="B94" s="81"/>
      <c r="C94" s="81"/>
      <c r="D94" s="81"/>
      <c r="E94" s="81"/>
      <c r="F94" s="81"/>
      <c r="G94" s="138"/>
      <c r="H94" s="138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>
      <c r="A95" s="81"/>
      <c r="B95" s="81"/>
      <c r="C95" s="81"/>
      <c r="D95" s="81"/>
      <c r="E95" s="81"/>
      <c r="F95" s="81"/>
      <c r="G95" s="138"/>
      <c r="H95" s="138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>
      <c r="A96" s="81"/>
      <c r="B96" s="81"/>
      <c r="C96" s="81"/>
      <c r="D96" s="81"/>
      <c r="E96" s="81"/>
      <c r="F96" s="81"/>
      <c r="G96" s="138"/>
      <c r="H96" s="138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>
      <c r="A97" s="81"/>
      <c r="B97" s="81"/>
      <c r="C97" s="81"/>
      <c r="D97" s="81"/>
      <c r="E97" s="81"/>
      <c r="F97" s="81"/>
      <c r="G97" s="138"/>
      <c r="H97" s="138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>
      <c r="A98" s="81"/>
      <c r="B98" s="81"/>
      <c r="C98" s="81"/>
      <c r="D98" s="81"/>
      <c r="E98" s="81"/>
      <c r="F98" s="81"/>
      <c r="G98" s="138"/>
      <c r="H98" s="138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>
      <c r="A99" s="81"/>
      <c r="B99" s="81"/>
      <c r="C99" s="81"/>
      <c r="D99" s="81"/>
      <c r="E99" s="81"/>
      <c r="F99" s="81"/>
      <c r="G99" s="138"/>
      <c r="H99" s="138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>
      <c r="A100" s="81"/>
      <c r="B100" s="81"/>
      <c r="C100" s="81"/>
      <c r="D100" s="81"/>
      <c r="E100" s="81"/>
      <c r="F100" s="81"/>
      <c r="G100" s="138"/>
      <c r="H100" s="138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>
      <c r="A101" s="81"/>
      <c r="B101" s="81"/>
      <c r="C101" s="81"/>
      <c r="D101" s="81"/>
      <c r="E101" s="81"/>
      <c r="F101" s="81"/>
      <c r="G101" s="138"/>
      <c r="H101" s="138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>
      <c r="A102" s="81"/>
      <c r="B102" s="81"/>
      <c r="C102" s="81"/>
      <c r="D102" s="81"/>
      <c r="E102" s="81"/>
      <c r="F102" s="81"/>
      <c r="G102" s="138"/>
      <c r="H102" s="138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>
      <c r="A103" s="81"/>
      <c r="B103" s="81"/>
      <c r="C103" s="81"/>
      <c r="D103" s="81"/>
      <c r="E103" s="81"/>
      <c r="F103" s="81"/>
      <c r="G103" s="138"/>
      <c r="H103" s="138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>
      <c r="A104" s="81"/>
      <c r="B104" s="81"/>
      <c r="C104" s="81"/>
      <c r="D104" s="81"/>
      <c r="E104" s="81"/>
      <c r="F104" s="81"/>
      <c r="G104" s="138"/>
      <c r="H104" s="138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>
      <c r="A105" s="81"/>
      <c r="B105" s="81"/>
      <c r="C105" s="81"/>
      <c r="D105" s="81"/>
      <c r="E105" s="81"/>
      <c r="F105" s="81"/>
      <c r="G105" s="138"/>
      <c r="H105" s="138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>
      <c r="A106" s="81"/>
      <c r="B106" s="81"/>
      <c r="C106" s="81"/>
      <c r="D106" s="81"/>
      <c r="E106" s="81"/>
      <c r="F106" s="81"/>
      <c r="G106" s="138"/>
      <c r="H106" s="138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>
      <c r="A107" s="81"/>
      <c r="B107" s="81"/>
      <c r="C107" s="81"/>
      <c r="D107" s="81"/>
      <c r="E107" s="81"/>
      <c r="F107" s="81"/>
      <c r="G107" s="138"/>
      <c r="H107" s="138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>
      <c r="A108" s="81"/>
      <c r="B108" s="81"/>
      <c r="C108" s="81"/>
      <c r="D108" s="81"/>
      <c r="E108" s="81"/>
      <c r="F108" s="81"/>
      <c r="G108" s="138"/>
      <c r="H108" s="138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>
      <c r="A109" s="81"/>
      <c r="B109" s="81"/>
      <c r="C109" s="81"/>
      <c r="D109" s="81"/>
      <c r="E109" s="81"/>
      <c r="F109" s="81"/>
      <c r="G109" s="138"/>
      <c r="H109" s="138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>
      <c r="A110" s="81"/>
      <c r="B110" s="81"/>
      <c r="C110" s="81"/>
      <c r="D110" s="81"/>
      <c r="E110" s="81"/>
      <c r="F110" s="81"/>
      <c r="G110" s="138"/>
      <c r="H110" s="138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>
      <c r="A111" s="81"/>
      <c r="B111" s="81"/>
      <c r="C111" s="81"/>
      <c r="D111" s="81"/>
      <c r="E111" s="81"/>
      <c r="F111" s="81"/>
      <c r="G111" s="138"/>
      <c r="H111" s="138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>
      <c r="A112" s="81"/>
      <c r="B112" s="81"/>
      <c r="C112" s="81"/>
      <c r="D112" s="81"/>
      <c r="E112" s="81"/>
      <c r="F112" s="81"/>
      <c r="G112" s="138"/>
      <c r="H112" s="138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>
      <c r="A113" s="81"/>
      <c r="B113" s="81"/>
      <c r="C113" s="81"/>
      <c r="D113" s="81"/>
      <c r="E113" s="81"/>
      <c r="F113" s="81"/>
      <c r="G113" s="138"/>
      <c r="H113" s="138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>
      <c r="A114" s="81"/>
      <c r="B114" s="81"/>
      <c r="C114" s="81"/>
      <c r="D114" s="81"/>
      <c r="E114" s="81"/>
      <c r="F114" s="81"/>
      <c r="G114" s="138"/>
      <c r="H114" s="138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>
      <c r="A115" s="81"/>
      <c r="B115" s="81"/>
      <c r="C115" s="81"/>
      <c r="D115" s="81"/>
      <c r="E115" s="81"/>
      <c r="F115" s="81"/>
      <c r="G115" s="138"/>
      <c r="H115" s="138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>
      <c r="A116" s="81"/>
      <c r="B116" s="81"/>
      <c r="C116" s="81"/>
      <c r="D116" s="81"/>
      <c r="E116" s="81"/>
      <c r="F116" s="81"/>
      <c r="G116" s="138"/>
      <c r="H116" s="138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>
      <c r="A117" s="81"/>
      <c r="B117" s="81"/>
      <c r="C117" s="81"/>
      <c r="D117" s="81"/>
      <c r="E117" s="81"/>
      <c r="F117" s="81"/>
      <c r="G117" s="138"/>
      <c r="H117" s="138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>
      <c r="A118" s="81"/>
      <c r="B118" s="81"/>
      <c r="C118" s="81"/>
      <c r="D118" s="81"/>
      <c r="E118" s="81"/>
      <c r="F118" s="81"/>
      <c r="G118" s="138"/>
      <c r="H118" s="138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>
      <c r="A119" s="81"/>
      <c r="B119" s="81"/>
      <c r="C119" s="81"/>
      <c r="D119" s="81"/>
      <c r="E119" s="81"/>
      <c r="F119" s="81"/>
      <c r="G119" s="138"/>
      <c r="H119" s="138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>
      <c r="A120" s="81"/>
      <c r="B120" s="81"/>
      <c r="C120" s="81"/>
      <c r="D120" s="81"/>
      <c r="E120" s="81"/>
      <c r="F120" s="81"/>
      <c r="G120" s="138"/>
      <c r="H120" s="138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>
      <c r="A121" s="81"/>
      <c r="B121" s="81"/>
      <c r="C121" s="81"/>
      <c r="D121" s="81"/>
      <c r="E121" s="81"/>
      <c r="F121" s="81"/>
      <c r="G121" s="138"/>
      <c r="H121" s="138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>
      <c r="A122" s="81"/>
      <c r="B122" s="81"/>
      <c r="C122" s="81"/>
      <c r="D122" s="81"/>
      <c r="E122" s="81"/>
      <c r="F122" s="81"/>
      <c r="G122" s="138"/>
      <c r="H122" s="138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>
      <c r="A123" s="81"/>
      <c r="B123" s="81"/>
      <c r="C123" s="81"/>
      <c r="D123" s="81"/>
      <c r="E123" s="81"/>
      <c r="F123" s="81"/>
      <c r="G123" s="138"/>
      <c r="H123" s="138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>
      <c r="A124" s="81"/>
      <c r="B124" s="81"/>
      <c r="C124" s="81"/>
      <c r="D124" s="81"/>
      <c r="E124" s="81"/>
      <c r="F124" s="81"/>
      <c r="G124" s="138"/>
      <c r="H124" s="138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>
      <c r="A125" s="81"/>
      <c r="B125" s="81"/>
      <c r="C125" s="81"/>
      <c r="D125" s="81"/>
      <c r="E125" s="81"/>
      <c r="F125" s="81"/>
      <c r="G125" s="138"/>
      <c r="H125" s="138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>
      <c r="A126" s="81"/>
      <c r="B126" s="81"/>
      <c r="C126" s="81"/>
      <c r="D126" s="81"/>
      <c r="E126" s="81"/>
      <c r="F126" s="81"/>
      <c r="G126" s="138"/>
      <c r="H126" s="138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>
      <c r="A127" s="81"/>
      <c r="B127" s="81"/>
      <c r="C127" s="81"/>
      <c r="D127" s="81"/>
      <c r="E127" s="81"/>
      <c r="F127" s="81"/>
      <c r="G127" s="138"/>
      <c r="H127" s="138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>
      <c r="A128" s="81"/>
      <c r="B128" s="81"/>
      <c r="C128" s="81"/>
      <c r="D128" s="81"/>
      <c r="E128" s="81"/>
      <c r="F128" s="81"/>
      <c r="G128" s="138"/>
      <c r="H128" s="138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>
      <c r="A129" s="81"/>
      <c r="B129" s="81"/>
      <c r="C129" s="81"/>
      <c r="D129" s="81"/>
      <c r="E129" s="81"/>
      <c r="F129" s="81"/>
      <c r="G129" s="138"/>
      <c r="H129" s="138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>
      <c r="A130" s="81"/>
      <c r="B130" s="81"/>
      <c r="C130" s="81"/>
      <c r="D130" s="81"/>
      <c r="E130" s="81"/>
      <c r="F130" s="81"/>
      <c r="G130" s="138"/>
      <c r="H130" s="138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>
      <c r="A131" s="81"/>
      <c r="B131" s="81"/>
      <c r="C131" s="81"/>
      <c r="D131" s="81"/>
      <c r="E131" s="81"/>
      <c r="F131" s="81"/>
      <c r="G131" s="138"/>
      <c r="H131" s="138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>
      <c r="A132" s="81"/>
      <c r="B132" s="81"/>
      <c r="C132" s="81"/>
      <c r="D132" s="81"/>
      <c r="E132" s="81"/>
      <c r="F132" s="81"/>
      <c r="G132" s="138"/>
      <c r="H132" s="138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>
      <c r="A133" s="81"/>
      <c r="B133" s="81"/>
      <c r="C133" s="81"/>
      <c r="D133" s="81"/>
      <c r="E133" s="81"/>
      <c r="F133" s="81"/>
      <c r="G133" s="138"/>
      <c r="H133" s="138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>
      <c r="A134" s="81"/>
      <c r="B134" s="81"/>
      <c r="C134" s="81"/>
      <c r="D134" s="81"/>
      <c r="E134" s="81"/>
      <c r="F134" s="81"/>
      <c r="G134" s="138"/>
      <c r="H134" s="138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>
      <c r="A135" s="81"/>
      <c r="B135" s="81"/>
      <c r="C135" s="81"/>
      <c r="D135" s="81"/>
      <c r="E135" s="81"/>
      <c r="F135" s="81"/>
      <c r="G135" s="138"/>
      <c r="H135" s="138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>
      <c r="A136" s="81"/>
      <c r="B136" s="81"/>
      <c r="C136" s="81"/>
      <c r="D136" s="81"/>
      <c r="E136" s="81"/>
      <c r="F136" s="81"/>
      <c r="G136" s="138"/>
      <c r="H136" s="138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>
      <c r="A137" s="81"/>
      <c r="B137" s="81"/>
      <c r="C137" s="81"/>
      <c r="D137" s="81"/>
      <c r="E137" s="81"/>
      <c r="F137" s="81"/>
      <c r="G137" s="138"/>
      <c r="H137" s="138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>
      <c r="A138" s="81"/>
      <c r="B138" s="81"/>
      <c r="C138" s="81"/>
      <c r="D138" s="81"/>
      <c r="E138" s="81"/>
      <c r="F138" s="81"/>
      <c r="G138" s="138"/>
      <c r="H138" s="138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>
      <c r="A139" s="81"/>
      <c r="B139" s="81"/>
      <c r="C139" s="81"/>
      <c r="D139" s="81"/>
      <c r="E139" s="81"/>
      <c r="F139" s="81"/>
      <c r="G139" s="138"/>
      <c r="H139" s="138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>
      <c r="A140" s="81"/>
      <c r="B140" s="81"/>
      <c r="C140" s="81"/>
      <c r="D140" s="81"/>
      <c r="E140" s="81"/>
      <c r="F140" s="81"/>
      <c r="G140" s="138"/>
      <c r="H140" s="138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>
      <c r="A141" s="81"/>
      <c r="B141" s="81"/>
      <c r="C141" s="81"/>
      <c r="D141" s="81"/>
      <c r="E141" s="81"/>
      <c r="F141" s="81"/>
      <c r="G141" s="138"/>
      <c r="H141" s="138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>
      <c r="A142" s="81"/>
      <c r="B142" s="81"/>
      <c r="C142" s="81"/>
      <c r="D142" s="81"/>
      <c r="E142" s="81"/>
      <c r="F142" s="81"/>
      <c r="G142" s="138"/>
      <c r="H142" s="138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>
      <c r="A143" s="81"/>
      <c r="B143" s="81"/>
      <c r="C143" s="81"/>
      <c r="D143" s="81"/>
      <c r="E143" s="81"/>
      <c r="F143" s="81"/>
      <c r="G143" s="138"/>
      <c r="H143" s="138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>
      <c r="A144" s="81"/>
      <c r="B144" s="81"/>
      <c r="C144" s="81"/>
      <c r="D144" s="81"/>
      <c r="E144" s="81"/>
      <c r="F144" s="81"/>
      <c r="G144" s="138"/>
      <c r="H144" s="138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>
      <c r="A145" s="81"/>
      <c r="B145" s="81"/>
      <c r="C145" s="81"/>
      <c r="D145" s="81"/>
      <c r="E145" s="81"/>
      <c r="F145" s="81"/>
      <c r="G145" s="138"/>
      <c r="H145" s="138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</row>
    <row r="146">
      <c r="A146" s="81"/>
      <c r="B146" s="81"/>
      <c r="C146" s="81"/>
      <c r="D146" s="81"/>
      <c r="E146" s="81"/>
      <c r="F146" s="81"/>
      <c r="G146" s="138"/>
      <c r="H146" s="138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</row>
    <row r="147">
      <c r="A147" s="81"/>
      <c r="B147" s="81"/>
      <c r="C147" s="81"/>
      <c r="D147" s="81"/>
      <c r="E147" s="81"/>
      <c r="F147" s="81"/>
      <c r="G147" s="138"/>
      <c r="H147" s="138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</row>
    <row r="148">
      <c r="A148" s="81"/>
      <c r="B148" s="81"/>
      <c r="C148" s="81"/>
      <c r="D148" s="81"/>
      <c r="E148" s="81"/>
      <c r="F148" s="81"/>
      <c r="G148" s="138"/>
      <c r="H148" s="138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</row>
    <row r="149">
      <c r="A149" s="81"/>
      <c r="B149" s="81"/>
      <c r="C149" s="81"/>
      <c r="D149" s="81"/>
      <c r="E149" s="81"/>
      <c r="F149" s="81"/>
      <c r="G149" s="138"/>
      <c r="H149" s="138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</row>
    <row r="150">
      <c r="A150" s="81"/>
      <c r="B150" s="81"/>
      <c r="C150" s="81"/>
      <c r="D150" s="81"/>
      <c r="E150" s="81"/>
      <c r="F150" s="81"/>
      <c r="G150" s="138"/>
      <c r="H150" s="138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</row>
    <row r="151">
      <c r="A151" s="81"/>
      <c r="B151" s="81"/>
      <c r="C151" s="81"/>
      <c r="D151" s="81"/>
      <c r="E151" s="81"/>
      <c r="F151" s="81"/>
      <c r="G151" s="138"/>
      <c r="H151" s="138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</row>
    <row r="152">
      <c r="A152" s="81"/>
      <c r="B152" s="81"/>
      <c r="C152" s="81"/>
      <c r="D152" s="81"/>
      <c r="E152" s="81"/>
      <c r="F152" s="81"/>
      <c r="G152" s="138"/>
      <c r="H152" s="138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</row>
    <row r="153">
      <c r="A153" s="81"/>
      <c r="B153" s="81"/>
      <c r="C153" s="81"/>
      <c r="D153" s="81"/>
      <c r="E153" s="81"/>
      <c r="F153" s="81"/>
      <c r="G153" s="138"/>
      <c r="H153" s="138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</row>
    <row r="154">
      <c r="A154" s="81"/>
      <c r="B154" s="81"/>
      <c r="C154" s="81"/>
      <c r="D154" s="81"/>
      <c r="E154" s="81"/>
      <c r="F154" s="81"/>
      <c r="G154" s="138"/>
      <c r="H154" s="138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>
      <c r="A155" s="81"/>
      <c r="B155" s="81"/>
      <c r="C155" s="81"/>
      <c r="D155" s="81"/>
      <c r="E155" s="81"/>
      <c r="F155" s="81"/>
      <c r="G155" s="138"/>
      <c r="H155" s="138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</row>
    <row r="156">
      <c r="A156" s="81"/>
      <c r="B156" s="81"/>
      <c r="C156" s="81"/>
      <c r="D156" s="81"/>
      <c r="E156" s="81"/>
      <c r="F156" s="81"/>
      <c r="G156" s="138"/>
      <c r="H156" s="138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</row>
    <row r="157">
      <c r="A157" s="81"/>
      <c r="B157" s="81"/>
      <c r="C157" s="81"/>
      <c r="D157" s="81"/>
      <c r="E157" s="81"/>
      <c r="F157" s="81"/>
      <c r="G157" s="138"/>
      <c r="H157" s="138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</row>
    <row r="158">
      <c r="A158" s="81"/>
      <c r="B158" s="81"/>
      <c r="C158" s="81"/>
      <c r="D158" s="81"/>
      <c r="E158" s="81"/>
      <c r="F158" s="81"/>
      <c r="G158" s="138"/>
      <c r="H158" s="138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</row>
    <row r="159">
      <c r="A159" s="81"/>
      <c r="B159" s="81"/>
      <c r="C159" s="81"/>
      <c r="D159" s="81"/>
      <c r="E159" s="81"/>
      <c r="F159" s="81"/>
      <c r="G159" s="138"/>
      <c r="H159" s="138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</row>
    <row r="160">
      <c r="A160" s="81"/>
      <c r="B160" s="81"/>
      <c r="C160" s="81"/>
      <c r="D160" s="81"/>
      <c r="E160" s="81"/>
      <c r="F160" s="81"/>
      <c r="G160" s="138"/>
      <c r="H160" s="138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</row>
    <row r="161">
      <c r="A161" s="81"/>
      <c r="B161" s="81"/>
      <c r="C161" s="81"/>
      <c r="D161" s="81"/>
      <c r="E161" s="81"/>
      <c r="F161" s="81"/>
      <c r="G161" s="138"/>
      <c r="H161" s="138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</row>
    <row r="162">
      <c r="A162" s="81"/>
      <c r="B162" s="81"/>
      <c r="C162" s="81"/>
      <c r="D162" s="81"/>
      <c r="E162" s="81"/>
      <c r="F162" s="81"/>
      <c r="G162" s="138"/>
      <c r="H162" s="138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</row>
    <row r="163">
      <c r="A163" s="81"/>
      <c r="B163" s="81"/>
      <c r="C163" s="81"/>
      <c r="D163" s="81"/>
      <c r="E163" s="81"/>
      <c r="F163" s="81"/>
      <c r="G163" s="138"/>
      <c r="H163" s="138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</row>
    <row r="164">
      <c r="A164" s="81"/>
      <c r="B164" s="81"/>
      <c r="C164" s="81"/>
      <c r="D164" s="81"/>
      <c r="E164" s="81"/>
      <c r="F164" s="81"/>
      <c r="G164" s="138"/>
      <c r="H164" s="138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</row>
    <row r="165">
      <c r="A165" s="81"/>
      <c r="B165" s="81"/>
      <c r="C165" s="81"/>
      <c r="D165" s="81"/>
      <c r="E165" s="81"/>
      <c r="F165" s="81"/>
      <c r="G165" s="138"/>
      <c r="H165" s="138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</row>
    <row r="166">
      <c r="A166" s="81"/>
      <c r="B166" s="81"/>
      <c r="C166" s="81"/>
      <c r="D166" s="81"/>
      <c r="E166" s="81"/>
      <c r="F166" s="81"/>
      <c r="G166" s="138"/>
      <c r="H166" s="138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</row>
    <row r="167">
      <c r="A167" s="81"/>
      <c r="B167" s="81"/>
      <c r="C167" s="81"/>
      <c r="D167" s="81"/>
      <c r="E167" s="81"/>
      <c r="F167" s="81"/>
      <c r="G167" s="138"/>
      <c r="H167" s="138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>
      <c r="A168" s="81"/>
      <c r="B168" s="81"/>
      <c r="C168" s="81"/>
      <c r="D168" s="81"/>
      <c r="E168" s="81"/>
      <c r="F168" s="81"/>
      <c r="G168" s="138"/>
      <c r="H168" s="138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</row>
    <row r="169">
      <c r="A169" s="81"/>
      <c r="B169" s="81"/>
      <c r="C169" s="81"/>
      <c r="D169" s="81"/>
      <c r="E169" s="81"/>
      <c r="F169" s="81"/>
      <c r="G169" s="138"/>
      <c r="H169" s="138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</row>
    <row r="170">
      <c r="A170" s="81"/>
      <c r="B170" s="81"/>
      <c r="C170" s="81"/>
      <c r="D170" s="81"/>
      <c r="E170" s="81"/>
      <c r="F170" s="81"/>
      <c r="G170" s="138"/>
      <c r="H170" s="138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</row>
    <row r="171">
      <c r="A171" s="81"/>
      <c r="B171" s="81"/>
      <c r="C171" s="81"/>
      <c r="D171" s="81"/>
      <c r="E171" s="81"/>
      <c r="F171" s="81"/>
      <c r="G171" s="138"/>
      <c r="H171" s="138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</row>
    <row r="172">
      <c r="A172" s="81"/>
      <c r="B172" s="81"/>
      <c r="C172" s="81"/>
      <c r="D172" s="81"/>
      <c r="E172" s="81"/>
      <c r="F172" s="81"/>
      <c r="G172" s="138"/>
      <c r="H172" s="138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>
      <c r="A173" s="81"/>
      <c r="B173" s="81"/>
      <c r="C173" s="81"/>
      <c r="D173" s="81"/>
      <c r="E173" s="81"/>
      <c r="F173" s="81"/>
      <c r="G173" s="138"/>
      <c r="H173" s="138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>
      <c r="A174" s="81"/>
      <c r="B174" s="81"/>
      <c r="C174" s="81"/>
      <c r="D174" s="81"/>
      <c r="E174" s="81"/>
      <c r="F174" s="81"/>
      <c r="G174" s="138"/>
      <c r="H174" s="138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</row>
    <row r="175">
      <c r="A175" s="81"/>
      <c r="B175" s="81"/>
      <c r="C175" s="81"/>
      <c r="D175" s="81"/>
      <c r="E175" s="81"/>
      <c r="F175" s="81"/>
      <c r="G175" s="138"/>
      <c r="H175" s="138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</row>
    <row r="176">
      <c r="A176" s="81"/>
      <c r="B176" s="81"/>
      <c r="C176" s="81"/>
      <c r="D176" s="81"/>
      <c r="E176" s="81"/>
      <c r="F176" s="81"/>
      <c r="G176" s="138"/>
      <c r="H176" s="138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</row>
    <row r="177">
      <c r="A177" s="81"/>
      <c r="B177" s="81"/>
      <c r="C177" s="81"/>
      <c r="D177" s="81"/>
      <c r="E177" s="81"/>
      <c r="F177" s="81"/>
      <c r="G177" s="138"/>
      <c r="H177" s="138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</row>
    <row r="178">
      <c r="A178" s="81"/>
      <c r="B178" s="81"/>
      <c r="C178" s="81"/>
      <c r="D178" s="81"/>
      <c r="E178" s="81"/>
      <c r="F178" s="81"/>
      <c r="G178" s="138"/>
      <c r="H178" s="138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</row>
    <row r="179">
      <c r="A179" s="81"/>
      <c r="B179" s="81"/>
      <c r="C179" s="81"/>
      <c r="D179" s="81"/>
      <c r="E179" s="81"/>
      <c r="F179" s="81"/>
      <c r="G179" s="138"/>
      <c r="H179" s="138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  <row r="180">
      <c r="A180" s="81"/>
      <c r="B180" s="81"/>
      <c r="C180" s="81"/>
      <c r="D180" s="81"/>
      <c r="E180" s="81"/>
      <c r="F180" s="81"/>
      <c r="G180" s="138"/>
      <c r="H180" s="138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</row>
    <row r="181">
      <c r="A181" s="81"/>
      <c r="B181" s="81"/>
      <c r="C181" s="81"/>
      <c r="D181" s="81"/>
      <c r="E181" s="81"/>
      <c r="F181" s="81"/>
      <c r="G181" s="138"/>
      <c r="H181" s="138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</row>
    <row r="182">
      <c r="A182" s="81"/>
      <c r="B182" s="81"/>
      <c r="C182" s="81"/>
      <c r="D182" s="81"/>
      <c r="E182" s="81"/>
      <c r="F182" s="81"/>
      <c r="G182" s="138"/>
      <c r="H182" s="138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</row>
    <row r="183">
      <c r="A183" s="81"/>
      <c r="B183" s="81"/>
      <c r="C183" s="81"/>
      <c r="D183" s="81"/>
      <c r="E183" s="81"/>
      <c r="F183" s="81"/>
      <c r="G183" s="138"/>
      <c r="H183" s="138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</row>
    <row r="184">
      <c r="A184" s="81"/>
      <c r="B184" s="81"/>
      <c r="C184" s="81"/>
      <c r="D184" s="81"/>
      <c r="E184" s="81"/>
      <c r="F184" s="81"/>
      <c r="G184" s="138"/>
      <c r="H184" s="138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>
      <c r="A185" s="81"/>
      <c r="B185" s="81"/>
      <c r="C185" s="81"/>
      <c r="D185" s="81"/>
      <c r="E185" s="81"/>
      <c r="F185" s="81"/>
      <c r="G185" s="138"/>
      <c r="H185" s="138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</row>
    <row r="186">
      <c r="A186" s="81"/>
      <c r="B186" s="81"/>
      <c r="C186" s="81"/>
      <c r="D186" s="81"/>
      <c r="E186" s="81"/>
      <c r="F186" s="81"/>
      <c r="G186" s="138"/>
      <c r="H186" s="138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</row>
    <row r="187">
      <c r="A187" s="81"/>
      <c r="B187" s="81"/>
      <c r="C187" s="81"/>
      <c r="D187" s="81"/>
      <c r="E187" s="81"/>
      <c r="F187" s="81"/>
      <c r="G187" s="138"/>
      <c r="H187" s="138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</row>
    <row r="188">
      <c r="A188" s="81"/>
      <c r="B188" s="81"/>
      <c r="C188" s="81"/>
      <c r="D188" s="81"/>
      <c r="E188" s="81"/>
      <c r="F188" s="81"/>
      <c r="G188" s="138"/>
      <c r="H188" s="138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>
      <c r="A189" s="81"/>
      <c r="B189" s="81"/>
      <c r="C189" s="81"/>
      <c r="D189" s="81"/>
      <c r="E189" s="81"/>
      <c r="F189" s="81"/>
      <c r="G189" s="138"/>
      <c r="H189" s="138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</row>
    <row r="190">
      <c r="A190" s="81"/>
      <c r="B190" s="81"/>
      <c r="C190" s="81"/>
      <c r="D190" s="81"/>
      <c r="E190" s="81"/>
      <c r="F190" s="81"/>
      <c r="G190" s="138"/>
      <c r="H190" s="138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</row>
    <row r="191">
      <c r="A191" s="81"/>
      <c r="B191" s="81"/>
      <c r="C191" s="81"/>
      <c r="D191" s="81"/>
      <c r="E191" s="81"/>
      <c r="F191" s="81"/>
      <c r="G191" s="138"/>
      <c r="H191" s="138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</row>
    <row r="192">
      <c r="A192" s="81"/>
      <c r="B192" s="81"/>
      <c r="C192" s="81"/>
      <c r="D192" s="81"/>
      <c r="E192" s="81"/>
      <c r="F192" s="81"/>
      <c r="G192" s="138"/>
      <c r="H192" s="138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</row>
    <row r="193">
      <c r="A193" s="81"/>
      <c r="B193" s="81"/>
      <c r="C193" s="81"/>
      <c r="D193" s="81"/>
      <c r="E193" s="81"/>
      <c r="F193" s="81"/>
      <c r="G193" s="138"/>
      <c r="H193" s="138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</row>
    <row r="194">
      <c r="A194" s="81"/>
      <c r="B194" s="81"/>
      <c r="C194" s="81"/>
      <c r="D194" s="81"/>
      <c r="E194" s="81"/>
      <c r="F194" s="81"/>
      <c r="G194" s="138"/>
      <c r="H194" s="138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</row>
    <row r="195">
      <c r="A195" s="81"/>
      <c r="B195" s="81"/>
      <c r="C195" s="81"/>
      <c r="D195" s="81"/>
      <c r="E195" s="81"/>
      <c r="F195" s="81"/>
      <c r="G195" s="138"/>
      <c r="H195" s="138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</row>
    <row r="196">
      <c r="A196" s="81"/>
      <c r="B196" s="81"/>
      <c r="C196" s="81"/>
      <c r="D196" s="81"/>
      <c r="E196" s="81"/>
      <c r="F196" s="81"/>
      <c r="G196" s="138"/>
      <c r="H196" s="138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</row>
    <row r="197">
      <c r="A197" s="81"/>
      <c r="B197" s="81"/>
      <c r="C197" s="81"/>
      <c r="D197" s="81"/>
      <c r="E197" s="81"/>
      <c r="F197" s="81"/>
      <c r="G197" s="138"/>
      <c r="H197" s="138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</row>
    <row r="198">
      <c r="A198" s="81"/>
      <c r="B198" s="81"/>
      <c r="C198" s="81"/>
      <c r="D198" s="81"/>
      <c r="E198" s="81"/>
      <c r="F198" s="81"/>
      <c r="G198" s="138"/>
      <c r="H198" s="138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</row>
    <row r="199">
      <c r="A199" s="81"/>
      <c r="B199" s="81"/>
      <c r="C199" s="81"/>
      <c r="D199" s="81"/>
      <c r="E199" s="81"/>
      <c r="F199" s="81"/>
      <c r="G199" s="138"/>
      <c r="H199" s="138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</row>
    <row r="200">
      <c r="A200" s="81"/>
      <c r="B200" s="81"/>
      <c r="C200" s="81"/>
      <c r="D200" s="81"/>
      <c r="E200" s="81"/>
      <c r="F200" s="81"/>
      <c r="G200" s="138"/>
      <c r="H200" s="138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</row>
    <row r="201">
      <c r="A201" s="81"/>
      <c r="B201" s="81"/>
      <c r="C201" s="81"/>
      <c r="D201" s="81"/>
      <c r="E201" s="81"/>
      <c r="F201" s="81"/>
      <c r="G201" s="138"/>
      <c r="H201" s="138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</row>
    <row r="202">
      <c r="A202" s="81"/>
      <c r="B202" s="81"/>
      <c r="C202" s="81"/>
      <c r="D202" s="81"/>
      <c r="E202" s="81"/>
      <c r="F202" s="81"/>
      <c r="G202" s="138"/>
      <c r="H202" s="138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</row>
    <row r="203">
      <c r="A203" s="81"/>
      <c r="B203" s="81"/>
      <c r="C203" s="81"/>
      <c r="D203" s="81"/>
      <c r="E203" s="81"/>
      <c r="F203" s="81"/>
      <c r="G203" s="138"/>
      <c r="H203" s="138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</row>
    <row r="204">
      <c r="A204" s="81"/>
      <c r="B204" s="81"/>
      <c r="C204" s="81"/>
      <c r="D204" s="81"/>
      <c r="E204" s="81"/>
      <c r="F204" s="81"/>
      <c r="G204" s="138"/>
      <c r="H204" s="138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</row>
    <row r="205">
      <c r="A205" s="81"/>
      <c r="B205" s="81"/>
      <c r="C205" s="81"/>
      <c r="D205" s="81"/>
      <c r="E205" s="81"/>
      <c r="F205" s="81"/>
      <c r="G205" s="138"/>
      <c r="H205" s="138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</row>
    <row r="206">
      <c r="A206" s="81"/>
      <c r="B206" s="81"/>
      <c r="C206" s="81"/>
      <c r="D206" s="81"/>
      <c r="E206" s="81"/>
      <c r="F206" s="81"/>
      <c r="G206" s="138"/>
      <c r="H206" s="138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</row>
    <row r="207">
      <c r="A207" s="81"/>
      <c r="B207" s="81"/>
      <c r="C207" s="81"/>
      <c r="D207" s="81"/>
      <c r="E207" s="81"/>
      <c r="F207" s="81"/>
      <c r="G207" s="138"/>
      <c r="H207" s="138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</row>
    <row r="208">
      <c r="A208" s="81"/>
      <c r="B208" s="81"/>
      <c r="C208" s="81"/>
      <c r="D208" s="81"/>
      <c r="E208" s="81"/>
      <c r="F208" s="81"/>
      <c r="G208" s="138"/>
      <c r="H208" s="138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</row>
    <row r="209">
      <c r="A209" s="81"/>
      <c r="B209" s="81"/>
      <c r="C209" s="81"/>
      <c r="D209" s="81"/>
      <c r="E209" s="81"/>
      <c r="F209" s="81"/>
      <c r="G209" s="138"/>
      <c r="H209" s="138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</row>
    <row r="210">
      <c r="A210" s="81"/>
      <c r="B210" s="81"/>
      <c r="C210" s="81"/>
      <c r="D210" s="81"/>
      <c r="E210" s="81"/>
      <c r="F210" s="81"/>
      <c r="G210" s="138"/>
      <c r="H210" s="138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</row>
    <row r="211">
      <c r="A211" s="81"/>
      <c r="B211" s="81"/>
      <c r="C211" s="81"/>
      <c r="D211" s="81"/>
      <c r="E211" s="81"/>
      <c r="F211" s="81"/>
      <c r="G211" s="138"/>
      <c r="H211" s="138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</row>
    <row r="212">
      <c r="A212" s="81"/>
      <c r="B212" s="81"/>
      <c r="C212" s="81"/>
      <c r="D212" s="81"/>
      <c r="E212" s="81"/>
      <c r="F212" s="81"/>
      <c r="G212" s="138"/>
      <c r="H212" s="138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</row>
    <row r="213">
      <c r="A213" s="81"/>
      <c r="B213" s="81"/>
      <c r="C213" s="81"/>
      <c r="D213" s="81"/>
      <c r="E213" s="81"/>
      <c r="F213" s="81"/>
      <c r="G213" s="138"/>
      <c r="H213" s="138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</row>
    <row r="214">
      <c r="A214" s="81"/>
      <c r="B214" s="81"/>
      <c r="C214" s="81"/>
      <c r="D214" s="81"/>
      <c r="E214" s="81"/>
      <c r="F214" s="81"/>
      <c r="G214" s="138"/>
      <c r="H214" s="138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</row>
    <row r="215">
      <c r="A215" s="81"/>
      <c r="B215" s="81"/>
      <c r="C215" s="81"/>
      <c r="D215" s="81"/>
      <c r="E215" s="81"/>
      <c r="F215" s="81"/>
      <c r="G215" s="138"/>
      <c r="H215" s="138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</row>
    <row r="216">
      <c r="A216" s="81"/>
      <c r="B216" s="81"/>
      <c r="C216" s="81"/>
      <c r="D216" s="81"/>
      <c r="E216" s="81"/>
      <c r="F216" s="81"/>
      <c r="G216" s="138"/>
      <c r="H216" s="138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</row>
    <row r="217">
      <c r="A217" s="81"/>
      <c r="B217" s="81"/>
      <c r="C217" s="81"/>
      <c r="D217" s="81"/>
      <c r="E217" s="81"/>
      <c r="F217" s="81"/>
      <c r="G217" s="138"/>
      <c r="H217" s="138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</row>
    <row r="218">
      <c r="A218" s="81"/>
      <c r="B218" s="81"/>
      <c r="C218" s="81"/>
      <c r="D218" s="81"/>
      <c r="E218" s="81"/>
      <c r="F218" s="81"/>
      <c r="G218" s="138"/>
      <c r="H218" s="138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</row>
    <row r="219">
      <c r="A219" s="81"/>
      <c r="B219" s="81"/>
      <c r="C219" s="81"/>
      <c r="D219" s="81"/>
      <c r="E219" s="81"/>
      <c r="F219" s="81"/>
      <c r="G219" s="138"/>
      <c r="H219" s="138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</row>
    <row r="220">
      <c r="A220" s="81"/>
      <c r="B220" s="81"/>
      <c r="C220" s="81"/>
      <c r="D220" s="81"/>
      <c r="E220" s="81"/>
      <c r="F220" s="81"/>
      <c r="G220" s="138"/>
      <c r="H220" s="138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</row>
    <row r="221">
      <c r="A221" s="81"/>
      <c r="B221" s="81"/>
      <c r="C221" s="81"/>
      <c r="D221" s="81"/>
      <c r="E221" s="81"/>
      <c r="F221" s="81"/>
      <c r="G221" s="138"/>
      <c r="H221" s="138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</row>
    <row r="222">
      <c r="A222" s="81"/>
      <c r="B222" s="81"/>
      <c r="C222" s="81"/>
      <c r="D222" s="81"/>
      <c r="E222" s="81"/>
      <c r="F222" s="81"/>
      <c r="G222" s="138"/>
      <c r="H222" s="138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</row>
    <row r="223">
      <c r="A223" s="81"/>
      <c r="B223" s="81"/>
      <c r="C223" s="81"/>
      <c r="D223" s="81"/>
      <c r="E223" s="81"/>
      <c r="F223" s="81"/>
      <c r="G223" s="138"/>
      <c r="H223" s="138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</row>
    <row r="224">
      <c r="A224" s="81"/>
      <c r="B224" s="81"/>
      <c r="C224" s="81"/>
      <c r="D224" s="81"/>
      <c r="E224" s="81"/>
      <c r="F224" s="81"/>
      <c r="G224" s="138"/>
      <c r="H224" s="138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</row>
    <row r="225">
      <c r="A225" s="81"/>
      <c r="B225" s="81"/>
      <c r="C225" s="81"/>
      <c r="D225" s="81"/>
      <c r="E225" s="81"/>
      <c r="F225" s="81"/>
      <c r="G225" s="138"/>
      <c r="H225" s="138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</row>
    <row r="226">
      <c r="A226" s="81"/>
      <c r="B226" s="81"/>
      <c r="C226" s="81"/>
      <c r="D226" s="81"/>
      <c r="E226" s="81"/>
      <c r="F226" s="81"/>
      <c r="G226" s="138"/>
      <c r="H226" s="138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</row>
    <row r="227">
      <c r="A227" s="81"/>
      <c r="B227" s="81"/>
      <c r="C227" s="81"/>
      <c r="D227" s="81"/>
      <c r="E227" s="81"/>
      <c r="F227" s="81"/>
      <c r="G227" s="138"/>
      <c r="H227" s="138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</row>
    <row r="228">
      <c r="A228" s="81"/>
      <c r="B228" s="81"/>
      <c r="C228" s="81"/>
      <c r="D228" s="81"/>
      <c r="E228" s="81"/>
      <c r="F228" s="81"/>
      <c r="G228" s="138"/>
      <c r="H228" s="138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</row>
    <row r="229">
      <c r="A229" s="81"/>
      <c r="B229" s="81"/>
      <c r="C229" s="81"/>
      <c r="D229" s="81"/>
      <c r="E229" s="81"/>
      <c r="F229" s="81"/>
      <c r="G229" s="138"/>
      <c r="H229" s="138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</row>
    <row r="230">
      <c r="A230" s="81"/>
      <c r="B230" s="81"/>
      <c r="C230" s="81"/>
      <c r="D230" s="81"/>
      <c r="E230" s="81"/>
      <c r="F230" s="81"/>
      <c r="G230" s="138"/>
      <c r="H230" s="138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</row>
    <row r="231">
      <c r="A231" s="81"/>
      <c r="B231" s="81"/>
      <c r="C231" s="81"/>
      <c r="D231" s="81"/>
      <c r="E231" s="81"/>
      <c r="F231" s="81"/>
      <c r="G231" s="138"/>
      <c r="H231" s="138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</row>
    <row r="232">
      <c r="A232" s="81"/>
      <c r="B232" s="81"/>
      <c r="C232" s="81"/>
      <c r="D232" s="81"/>
      <c r="E232" s="81"/>
      <c r="F232" s="81"/>
      <c r="G232" s="138"/>
      <c r="H232" s="138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</row>
    <row r="233">
      <c r="A233" s="81"/>
      <c r="B233" s="81"/>
      <c r="C233" s="81"/>
      <c r="D233" s="81"/>
      <c r="E233" s="81"/>
      <c r="F233" s="81"/>
      <c r="G233" s="138"/>
      <c r="H233" s="138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</row>
    <row r="234">
      <c r="A234" s="81"/>
      <c r="B234" s="81"/>
      <c r="C234" s="81"/>
      <c r="D234" s="81"/>
      <c r="E234" s="81"/>
      <c r="F234" s="81"/>
      <c r="G234" s="138"/>
      <c r="H234" s="138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</row>
    <row r="235">
      <c r="A235" s="81"/>
      <c r="B235" s="81"/>
      <c r="C235" s="81"/>
      <c r="D235" s="81"/>
      <c r="E235" s="81"/>
      <c r="F235" s="81"/>
      <c r="G235" s="138"/>
      <c r="H235" s="138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</row>
    <row r="236">
      <c r="A236" s="81"/>
      <c r="B236" s="81"/>
      <c r="C236" s="81"/>
      <c r="D236" s="81"/>
      <c r="E236" s="81"/>
      <c r="F236" s="81"/>
      <c r="G236" s="138"/>
      <c r="H236" s="138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</row>
    <row r="237">
      <c r="A237" s="81"/>
      <c r="B237" s="81"/>
      <c r="C237" s="81"/>
      <c r="D237" s="81"/>
      <c r="E237" s="81"/>
      <c r="F237" s="81"/>
      <c r="G237" s="138"/>
      <c r="H237" s="138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</row>
    <row r="238">
      <c r="A238" s="81"/>
      <c r="B238" s="81"/>
      <c r="C238" s="81"/>
      <c r="D238" s="81"/>
      <c r="E238" s="81"/>
      <c r="F238" s="81"/>
      <c r="G238" s="138"/>
      <c r="H238" s="138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</row>
    <row r="239">
      <c r="A239" s="81"/>
      <c r="B239" s="81"/>
      <c r="C239" s="81"/>
      <c r="D239" s="81"/>
      <c r="E239" s="81"/>
      <c r="F239" s="81"/>
      <c r="G239" s="138"/>
      <c r="H239" s="138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</row>
    <row r="240">
      <c r="A240" s="81"/>
      <c r="B240" s="81"/>
      <c r="C240" s="81"/>
      <c r="D240" s="81"/>
      <c r="E240" s="81"/>
      <c r="F240" s="81"/>
      <c r="G240" s="138"/>
      <c r="H240" s="138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</row>
    <row r="241">
      <c r="A241" s="81"/>
      <c r="B241" s="81"/>
      <c r="C241" s="81"/>
      <c r="D241" s="81"/>
      <c r="E241" s="81"/>
      <c r="F241" s="81"/>
      <c r="G241" s="138"/>
      <c r="H241" s="138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</row>
    <row r="242">
      <c r="A242" s="81"/>
      <c r="B242" s="81"/>
      <c r="C242" s="81"/>
      <c r="D242" s="81"/>
      <c r="E242" s="81"/>
      <c r="F242" s="81"/>
      <c r="G242" s="138"/>
      <c r="H242" s="138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</row>
    <row r="243">
      <c r="A243" s="81"/>
      <c r="B243" s="81"/>
      <c r="C243" s="81"/>
      <c r="D243" s="81"/>
      <c r="E243" s="81"/>
      <c r="F243" s="81"/>
      <c r="G243" s="138"/>
      <c r="H243" s="138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</row>
    <row r="244">
      <c r="A244" s="81"/>
      <c r="B244" s="81"/>
      <c r="C244" s="81"/>
      <c r="D244" s="81"/>
      <c r="E244" s="81"/>
      <c r="F244" s="81"/>
      <c r="G244" s="138"/>
      <c r="H244" s="138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</row>
    <row r="245">
      <c r="A245" s="81"/>
      <c r="B245" s="81"/>
      <c r="C245" s="81"/>
      <c r="D245" s="81"/>
      <c r="E245" s="81"/>
      <c r="F245" s="81"/>
      <c r="G245" s="138"/>
      <c r="H245" s="138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</row>
    <row r="246">
      <c r="A246" s="81"/>
      <c r="B246" s="81"/>
      <c r="C246" s="81"/>
      <c r="D246" s="81"/>
      <c r="E246" s="81"/>
      <c r="F246" s="81"/>
      <c r="G246" s="138"/>
      <c r="H246" s="138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</row>
    <row r="247">
      <c r="A247" s="81"/>
      <c r="B247" s="81"/>
      <c r="C247" s="81"/>
      <c r="D247" s="81"/>
      <c r="E247" s="81"/>
      <c r="F247" s="81"/>
      <c r="G247" s="138"/>
      <c r="H247" s="138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</row>
    <row r="248">
      <c r="A248" s="81"/>
      <c r="B248" s="81"/>
      <c r="C248" s="81"/>
      <c r="D248" s="81"/>
      <c r="E248" s="81"/>
      <c r="F248" s="81"/>
      <c r="G248" s="138"/>
      <c r="H248" s="138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</row>
    <row r="249">
      <c r="A249" s="81"/>
      <c r="B249" s="81"/>
      <c r="C249" s="81"/>
      <c r="D249" s="81"/>
      <c r="E249" s="81"/>
      <c r="F249" s="81"/>
      <c r="G249" s="138"/>
      <c r="H249" s="138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</row>
    <row r="250">
      <c r="A250" s="81"/>
      <c r="B250" s="81"/>
      <c r="C250" s="81"/>
      <c r="D250" s="81"/>
      <c r="E250" s="81"/>
      <c r="F250" s="81"/>
      <c r="G250" s="138"/>
      <c r="H250" s="138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</row>
    <row r="251">
      <c r="A251" s="81"/>
      <c r="B251" s="81"/>
      <c r="C251" s="81"/>
      <c r="D251" s="81"/>
      <c r="E251" s="81"/>
      <c r="F251" s="81"/>
      <c r="G251" s="138"/>
      <c r="H251" s="138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</row>
    <row r="252">
      <c r="A252" s="81"/>
      <c r="B252" s="81"/>
      <c r="C252" s="81"/>
      <c r="D252" s="81"/>
      <c r="E252" s="81"/>
      <c r="F252" s="81"/>
      <c r="G252" s="138"/>
      <c r="H252" s="138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</row>
    <row r="253">
      <c r="A253" s="81"/>
      <c r="B253" s="81"/>
      <c r="C253" s="81"/>
      <c r="D253" s="81"/>
      <c r="E253" s="81"/>
      <c r="F253" s="81"/>
      <c r="G253" s="138"/>
      <c r="H253" s="138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</row>
    <row r="254">
      <c r="A254" s="81"/>
      <c r="B254" s="81"/>
      <c r="C254" s="81"/>
      <c r="D254" s="81"/>
      <c r="E254" s="81"/>
      <c r="F254" s="81"/>
      <c r="G254" s="138"/>
      <c r="H254" s="138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</row>
    <row r="255">
      <c r="A255" s="81"/>
      <c r="B255" s="81"/>
      <c r="C255" s="81"/>
      <c r="D255" s="81"/>
      <c r="E255" s="81"/>
      <c r="F255" s="81"/>
      <c r="G255" s="138"/>
      <c r="H255" s="138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</row>
    <row r="256">
      <c r="A256" s="81"/>
      <c r="B256" s="81"/>
      <c r="C256" s="81"/>
      <c r="D256" s="81"/>
      <c r="E256" s="81"/>
      <c r="F256" s="81"/>
      <c r="G256" s="138"/>
      <c r="H256" s="138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</row>
    <row r="257">
      <c r="A257" s="81"/>
      <c r="B257" s="81"/>
      <c r="C257" s="81"/>
      <c r="D257" s="81"/>
      <c r="E257" s="81"/>
      <c r="F257" s="81"/>
      <c r="G257" s="138"/>
      <c r="H257" s="138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</row>
    <row r="258">
      <c r="A258" s="81"/>
      <c r="B258" s="81"/>
      <c r="C258" s="81"/>
      <c r="D258" s="81"/>
      <c r="E258" s="81"/>
      <c r="F258" s="81"/>
      <c r="G258" s="138"/>
      <c r="H258" s="138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</row>
    <row r="259">
      <c r="A259" s="81"/>
      <c r="B259" s="81"/>
      <c r="C259" s="81"/>
      <c r="D259" s="81"/>
      <c r="E259" s="81"/>
      <c r="F259" s="81"/>
      <c r="G259" s="138"/>
      <c r="H259" s="138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</row>
    <row r="260">
      <c r="A260" s="81"/>
      <c r="B260" s="81"/>
      <c r="C260" s="81"/>
      <c r="D260" s="81"/>
      <c r="E260" s="81"/>
      <c r="F260" s="81"/>
      <c r="G260" s="138"/>
      <c r="H260" s="138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</row>
    <row r="261">
      <c r="A261" s="81"/>
      <c r="B261" s="81"/>
      <c r="C261" s="81"/>
      <c r="D261" s="81"/>
      <c r="E261" s="81"/>
      <c r="F261" s="81"/>
      <c r="G261" s="138"/>
      <c r="H261" s="138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</row>
    <row r="262">
      <c r="A262" s="81"/>
      <c r="B262" s="81"/>
      <c r="C262" s="81"/>
      <c r="D262" s="81"/>
      <c r="E262" s="81"/>
      <c r="F262" s="81"/>
      <c r="G262" s="138"/>
      <c r="H262" s="138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</row>
    <row r="263">
      <c r="A263" s="81"/>
      <c r="B263" s="81"/>
      <c r="C263" s="81"/>
      <c r="D263" s="81"/>
      <c r="E263" s="81"/>
      <c r="F263" s="81"/>
      <c r="G263" s="138"/>
      <c r="H263" s="138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</row>
    <row r="264">
      <c r="A264" s="81"/>
      <c r="B264" s="81"/>
      <c r="C264" s="81"/>
      <c r="D264" s="81"/>
      <c r="E264" s="81"/>
      <c r="F264" s="81"/>
      <c r="G264" s="138"/>
      <c r="H264" s="138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</row>
    <row r="265">
      <c r="A265" s="81"/>
      <c r="B265" s="81"/>
      <c r="C265" s="81"/>
      <c r="D265" s="81"/>
      <c r="E265" s="81"/>
      <c r="F265" s="81"/>
      <c r="G265" s="138"/>
      <c r="H265" s="138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</row>
    <row r="266">
      <c r="A266" s="81"/>
      <c r="B266" s="81"/>
      <c r="C266" s="81"/>
      <c r="D266" s="81"/>
      <c r="E266" s="81"/>
      <c r="F266" s="81"/>
      <c r="G266" s="138"/>
      <c r="H266" s="138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</row>
    <row r="267">
      <c r="A267" s="81"/>
      <c r="B267" s="81"/>
      <c r="C267" s="81"/>
      <c r="D267" s="81"/>
      <c r="E267" s="81"/>
      <c r="F267" s="81"/>
      <c r="G267" s="138"/>
      <c r="H267" s="138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</row>
    <row r="268">
      <c r="A268" s="81"/>
      <c r="B268" s="81"/>
      <c r="C268" s="81"/>
      <c r="D268" s="81"/>
      <c r="E268" s="81"/>
      <c r="F268" s="81"/>
      <c r="G268" s="138"/>
      <c r="H268" s="138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</row>
    <row r="269">
      <c r="A269" s="81"/>
      <c r="B269" s="81"/>
      <c r="C269" s="81"/>
      <c r="D269" s="81"/>
      <c r="E269" s="81"/>
      <c r="F269" s="81"/>
      <c r="G269" s="138"/>
      <c r="H269" s="138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</row>
    <row r="270">
      <c r="A270" s="81"/>
      <c r="B270" s="81"/>
      <c r="C270" s="81"/>
      <c r="D270" s="81"/>
      <c r="E270" s="81"/>
      <c r="F270" s="81"/>
      <c r="G270" s="138"/>
      <c r="H270" s="138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</row>
    <row r="271">
      <c r="A271" s="81"/>
      <c r="B271" s="81"/>
      <c r="C271" s="81"/>
      <c r="D271" s="81"/>
      <c r="E271" s="81"/>
      <c r="F271" s="81"/>
      <c r="G271" s="138"/>
      <c r="H271" s="138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</row>
    <row r="272">
      <c r="A272" s="81"/>
      <c r="B272" s="81"/>
      <c r="C272" s="81"/>
      <c r="D272" s="81"/>
      <c r="E272" s="81"/>
      <c r="F272" s="81"/>
      <c r="G272" s="138"/>
      <c r="H272" s="138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</row>
    <row r="273">
      <c r="A273" s="81"/>
      <c r="B273" s="81"/>
      <c r="C273" s="81"/>
      <c r="D273" s="81"/>
      <c r="E273" s="81"/>
      <c r="F273" s="81"/>
      <c r="G273" s="138"/>
      <c r="H273" s="138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</row>
    <row r="274">
      <c r="A274" s="81"/>
      <c r="B274" s="81"/>
      <c r="C274" s="81"/>
      <c r="D274" s="81"/>
      <c r="E274" s="81"/>
      <c r="F274" s="81"/>
      <c r="G274" s="138"/>
      <c r="H274" s="138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</row>
    <row r="275">
      <c r="A275" s="81"/>
      <c r="B275" s="81"/>
      <c r="C275" s="81"/>
      <c r="D275" s="81"/>
      <c r="E275" s="81"/>
      <c r="F275" s="81"/>
      <c r="G275" s="138"/>
      <c r="H275" s="138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</row>
    <row r="276">
      <c r="A276" s="81"/>
      <c r="B276" s="81"/>
      <c r="C276" s="81"/>
      <c r="D276" s="81"/>
      <c r="E276" s="81"/>
      <c r="F276" s="81"/>
      <c r="G276" s="138"/>
      <c r="H276" s="138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</row>
    <row r="277">
      <c r="A277" s="81"/>
      <c r="B277" s="81"/>
      <c r="C277" s="81"/>
      <c r="D277" s="81"/>
      <c r="E277" s="81"/>
      <c r="F277" s="81"/>
      <c r="G277" s="138"/>
      <c r="H277" s="138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</row>
    <row r="278">
      <c r="A278" s="81"/>
      <c r="B278" s="81"/>
      <c r="C278" s="81"/>
      <c r="D278" s="81"/>
      <c r="E278" s="81"/>
      <c r="F278" s="81"/>
      <c r="G278" s="138"/>
      <c r="H278" s="138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</row>
    <row r="279">
      <c r="A279" s="81"/>
      <c r="B279" s="81"/>
      <c r="C279" s="81"/>
      <c r="D279" s="81"/>
      <c r="E279" s="81"/>
      <c r="F279" s="81"/>
      <c r="G279" s="138"/>
      <c r="H279" s="138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</row>
    <row r="280">
      <c r="A280" s="81"/>
      <c r="B280" s="81"/>
      <c r="C280" s="81"/>
      <c r="D280" s="81"/>
      <c r="E280" s="81"/>
      <c r="F280" s="81"/>
      <c r="G280" s="138"/>
      <c r="H280" s="138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</row>
    <row r="281">
      <c r="A281" s="81"/>
      <c r="B281" s="81"/>
      <c r="C281" s="81"/>
      <c r="D281" s="81"/>
      <c r="E281" s="81"/>
      <c r="F281" s="81"/>
      <c r="G281" s="138"/>
      <c r="H281" s="138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</row>
    <row r="282">
      <c r="A282" s="81"/>
      <c r="B282" s="81"/>
      <c r="C282" s="81"/>
      <c r="D282" s="81"/>
      <c r="E282" s="81"/>
      <c r="F282" s="81"/>
      <c r="G282" s="138"/>
      <c r="H282" s="138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</row>
    <row r="283">
      <c r="A283" s="81"/>
      <c r="B283" s="81"/>
      <c r="C283" s="81"/>
      <c r="D283" s="81"/>
      <c r="E283" s="81"/>
      <c r="F283" s="81"/>
      <c r="G283" s="138"/>
      <c r="H283" s="138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</row>
    <row r="284">
      <c r="A284" s="81"/>
      <c r="B284" s="81"/>
      <c r="C284" s="81"/>
      <c r="D284" s="81"/>
      <c r="E284" s="81"/>
      <c r="F284" s="81"/>
      <c r="G284" s="138"/>
      <c r="H284" s="138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</row>
    <row r="285">
      <c r="A285" s="81"/>
      <c r="B285" s="81"/>
      <c r="C285" s="81"/>
      <c r="D285" s="81"/>
      <c r="E285" s="81"/>
      <c r="F285" s="81"/>
      <c r="G285" s="138"/>
      <c r="H285" s="138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</row>
    <row r="286">
      <c r="A286" s="81"/>
      <c r="B286" s="81"/>
      <c r="C286" s="81"/>
      <c r="D286" s="81"/>
      <c r="E286" s="81"/>
      <c r="F286" s="81"/>
      <c r="G286" s="138"/>
      <c r="H286" s="138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</row>
    <row r="287">
      <c r="A287" s="81"/>
      <c r="B287" s="81"/>
      <c r="C287" s="81"/>
      <c r="D287" s="81"/>
      <c r="E287" s="81"/>
      <c r="F287" s="81"/>
      <c r="G287" s="138"/>
      <c r="H287" s="138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</row>
    <row r="288">
      <c r="A288" s="81"/>
      <c r="B288" s="81"/>
      <c r="C288" s="81"/>
      <c r="D288" s="81"/>
      <c r="E288" s="81"/>
      <c r="F288" s="81"/>
      <c r="G288" s="138"/>
      <c r="H288" s="138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</row>
    <row r="289">
      <c r="A289" s="81"/>
      <c r="B289" s="81"/>
      <c r="C289" s="81"/>
      <c r="D289" s="81"/>
      <c r="E289" s="81"/>
      <c r="F289" s="81"/>
      <c r="G289" s="138"/>
      <c r="H289" s="138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</row>
    <row r="290">
      <c r="A290" s="81"/>
      <c r="B290" s="81"/>
      <c r="C290" s="81"/>
      <c r="D290" s="81"/>
      <c r="E290" s="81"/>
      <c r="F290" s="81"/>
      <c r="G290" s="138"/>
      <c r="H290" s="138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</row>
    <row r="291">
      <c r="A291" s="81"/>
      <c r="B291" s="81"/>
      <c r="C291" s="81"/>
      <c r="D291" s="81"/>
      <c r="E291" s="81"/>
      <c r="F291" s="81"/>
      <c r="G291" s="138"/>
      <c r="H291" s="138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</row>
    <row r="292">
      <c r="A292" s="81"/>
      <c r="B292" s="81"/>
      <c r="C292" s="81"/>
      <c r="D292" s="81"/>
      <c r="E292" s="81"/>
      <c r="F292" s="81"/>
      <c r="G292" s="138"/>
      <c r="H292" s="138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</row>
    <row r="293">
      <c r="A293" s="81"/>
      <c r="B293" s="81"/>
      <c r="C293" s="81"/>
      <c r="D293" s="81"/>
      <c r="E293" s="81"/>
      <c r="F293" s="81"/>
      <c r="G293" s="138"/>
      <c r="H293" s="138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</row>
    <row r="294">
      <c r="A294" s="81"/>
      <c r="B294" s="81"/>
      <c r="C294" s="81"/>
      <c r="D294" s="81"/>
      <c r="E294" s="81"/>
      <c r="F294" s="81"/>
      <c r="G294" s="138"/>
      <c r="H294" s="138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</row>
    <row r="295">
      <c r="A295" s="81"/>
      <c r="B295" s="81"/>
      <c r="C295" s="81"/>
      <c r="D295" s="81"/>
      <c r="E295" s="81"/>
      <c r="F295" s="81"/>
      <c r="G295" s="138"/>
      <c r="H295" s="138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</row>
    <row r="296">
      <c r="A296" s="81"/>
      <c r="B296" s="81"/>
      <c r="C296" s="81"/>
      <c r="D296" s="81"/>
      <c r="E296" s="81"/>
      <c r="F296" s="81"/>
      <c r="G296" s="138"/>
      <c r="H296" s="138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</row>
    <row r="297">
      <c r="A297" s="81"/>
      <c r="B297" s="81"/>
      <c r="C297" s="81"/>
      <c r="D297" s="81"/>
      <c r="E297" s="81"/>
      <c r="F297" s="81"/>
      <c r="G297" s="138"/>
      <c r="H297" s="138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</row>
    <row r="298">
      <c r="A298" s="81"/>
      <c r="B298" s="81"/>
      <c r="C298" s="81"/>
      <c r="D298" s="81"/>
      <c r="E298" s="81"/>
      <c r="F298" s="81"/>
      <c r="G298" s="138"/>
      <c r="H298" s="138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</row>
    <row r="299">
      <c r="A299" s="81"/>
      <c r="B299" s="81"/>
      <c r="C299" s="81"/>
      <c r="D299" s="81"/>
      <c r="E299" s="81"/>
      <c r="F299" s="81"/>
      <c r="G299" s="138"/>
      <c r="H299" s="138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</row>
    <row r="300">
      <c r="A300" s="81"/>
      <c r="B300" s="81"/>
      <c r="C300" s="81"/>
      <c r="D300" s="81"/>
      <c r="E300" s="81"/>
      <c r="F300" s="81"/>
      <c r="G300" s="138"/>
      <c r="H300" s="138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</row>
    <row r="301">
      <c r="A301" s="81"/>
      <c r="B301" s="81"/>
      <c r="C301" s="81"/>
      <c r="D301" s="81"/>
      <c r="E301" s="81"/>
      <c r="F301" s="81"/>
      <c r="G301" s="138"/>
      <c r="H301" s="138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</row>
    <row r="302">
      <c r="A302" s="81"/>
      <c r="B302" s="81"/>
      <c r="C302" s="81"/>
      <c r="D302" s="81"/>
      <c r="E302" s="81"/>
      <c r="F302" s="81"/>
      <c r="G302" s="138"/>
      <c r="H302" s="138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</row>
    <row r="303">
      <c r="A303" s="81"/>
      <c r="B303" s="81"/>
      <c r="C303" s="81"/>
      <c r="D303" s="81"/>
      <c r="E303" s="81"/>
      <c r="F303" s="81"/>
      <c r="G303" s="138"/>
      <c r="H303" s="138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</row>
    <row r="304">
      <c r="A304" s="81"/>
      <c r="B304" s="81"/>
      <c r="C304" s="81"/>
      <c r="D304" s="81"/>
      <c r="E304" s="81"/>
      <c r="F304" s="81"/>
      <c r="G304" s="138"/>
      <c r="H304" s="138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</row>
    <row r="305">
      <c r="A305" s="81"/>
      <c r="B305" s="81"/>
      <c r="C305" s="81"/>
      <c r="D305" s="81"/>
      <c r="E305" s="81"/>
      <c r="F305" s="81"/>
      <c r="G305" s="138"/>
      <c r="H305" s="138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</row>
    <row r="306">
      <c r="A306" s="81"/>
      <c r="B306" s="81"/>
      <c r="C306" s="81"/>
      <c r="D306" s="81"/>
      <c r="E306" s="81"/>
      <c r="F306" s="81"/>
      <c r="G306" s="138"/>
      <c r="H306" s="138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</row>
    <row r="307">
      <c r="A307" s="81"/>
      <c r="B307" s="81"/>
      <c r="C307" s="81"/>
      <c r="D307" s="81"/>
      <c r="E307" s="81"/>
      <c r="F307" s="81"/>
      <c r="G307" s="138"/>
      <c r="H307" s="138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</row>
    <row r="308">
      <c r="A308" s="81"/>
      <c r="B308" s="81"/>
      <c r="C308" s="81"/>
      <c r="D308" s="81"/>
      <c r="E308" s="81"/>
      <c r="F308" s="81"/>
      <c r="G308" s="138"/>
      <c r="H308" s="138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</row>
    <row r="309">
      <c r="A309" s="81"/>
      <c r="B309" s="81"/>
      <c r="C309" s="81"/>
      <c r="D309" s="81"/>
      <c r="E309" s="81"/>
      <c r="F309" s="81"/>
      <c r="G309" s="138"/>
      <c r="H309" s="138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</row>
    <row r="310">
      <c r="A310" s="81"/>
      <c r="B310" s="81"/>
      <c r="C310" s="81"/>
      <c r="D310" s="81"/>
      <c r="E310" s="81"/>
      <c r="F310" s="81"/>
      <c r="G310" s="138"/>
      <c r="H310" s="138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</row>
    <row r="311">
      <c r="A311" s="81"/>
      <c r="B311" s="81"/>
      <c r="C311" s="81"/>
      <c r="D311" s="81"/>
      <c r="E311" s="81"/>
      <c r="F311" s="81"/>
      <c r="G311" s="138"/>
      <c r="H311" s="138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</row>
    <row r="312">
      <c r="A312" s="81"/>
      <c r="B312" s="81"/>
      <c r="C312" s="81"/>
      <c r="D312" s="81"/>
      <c r="E312" s="81"/>
      <c r="F312" s="81"/>
      <c r="G312" s="138"/>
      <c r="H312" s="138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</row>
    <row r="313">
      <c r="A313" s="81"/>
      <c r="B313" s="81"/>
      <c r="C313" s="81"/>
      <c r="D313" s="81"/>
      <c r="E313" s="81"/>
      <c r="F313" s="81"/>
      <c r="G313" s="138"/>
      <c r="H313" s="138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</row>
    <row r="314">
      <c r="A314" s="81"/>
      <c r="B314" s="81"/>
      <c r="C314" s="81"/>
      <c r="D314" s="81"/>
      <c r="E314" s="81"/>
      <c r="F314" s="81"/>
      <c r="G314" s="138"/>
      <c r="H314" s="138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</row>
    <row r="315">
      <c r="A315" s="81"/>
      <c r="B315" s="81"/>
      <c r="C315" s="81"/>
      <c r="D315" s="81"/>
      <c r="E315" s="81"/>
      <c r="F315" s="81"/>
      <c r="G315" s="138"/>
      <c r="H315" s="138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</row>
    <row r="316">
      <c r="A316" s="81"/>
      <c r="B316" s="81"/>
      <c r="C316" s="81"/>
      <c r="D316" s="81"/>
      <c r="E316" s="81"/>
      <c r="F316" s="81"/>
      <c r="G316" s="138"/>
      <c r="H316" s="138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</row>
    <row r="317">
      <c r="A317" s="81"/>
      <c r="B317" s="81"/>
      <c r="C317" s="81"/>
      <c r="D317" s="81"/>
      <c r="E317" s="81"/>
      <c r="F317" s="81"/>
      <c r="G317" s="138"/>
      <c r="H317" s="138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</row>
    <row r="318">
      <c r="A318" s="81"/>
      <c r="B318" s="81"/>
      <c r="C318" s="81"/>
      <c r="D318" s="81"/>
      <c r="E318" s="81"/>
      <c r="F318" s="81"/>
      <c r="G318" s="138"/>
      <c r="H318" s="138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</row>
    <row r="319">
      <c r="A319" s="81"/>
      <c r="B319" s="81"/>
      <c r="C319" s="81"/>
      <c r="D319" s="81"/>
      <c r="E319" s="81"/>
      <c r="F319" s="81"/>
      <c r="G319" s="138"/>
      <c r="H319" s="138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</row>
    <row r="320">
      <c r="A320" s="81"/>
      <c r="B320" s="81"/>
      <c r="C320" s="81"/>
      <c r="D320" s="81"/>
      <c r="E320" s="81"/>
      <c r="F320" s="81"/>
      <c r="G320" s="138"/>
      <c r="H320" s="138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</row>
    <row r="321">
      <c r="A321" s="81"/>
      <c r="B321" s="81"/>
      <c r="C321" s="81"/>
      <c r="D321" s="81"/>
      <c r="E321" s="81"/>
      <c r="F321" s="81"/>
      <c r="G321" s="138"/>
      <c r="H321" s="138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</row>
    <row r="322">
      <c r="A322" s="81"/>
      <c r="B322" s="81"/>
      <c r="C322" s="81"/>
      <c r="D322" s="81"/>
      <c r="E322" s="81"/>
      <c r="F322" s="81"/>
      <c r="G322" s="138"/>
      <c r="H322" s="138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</row>
    <row r="323">
      <c r="A323" s="81"/>
      <c r="B323" s="81"/>
      <c r="C323" s="81"/>
      <c r="D323" s="81"/>
      <c r="E323" s="81"/>
      <c r="F323" s="81"/>
      <c r="G323" s="138"/>
      <c r="H323" s="138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</row>
    <row r="324">
      <c r="A324" s="81"/>
      <c r="B324" s="81"/>
      <c r="C324" s="81"/>
      <c r="D324" s="81"/>
      <c r="E324" s="81"/>
      <c r="F324" s="81"/>
      <c r="G324" s="138"/>
      <c r="H324" s="138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</row>
    <row r="325">
      <c r="A325" s="81"/>
      <c r="B325" s="81"/>
      <c r="C325" s="81"/>
      <c r="D325" s="81"/>
      <c r="E325" s="81"/>
      <c r="F325" s="81"/>
      <c r="G325" s="138"/>
      <c r="H325" s="138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</row>
    <row r="326">
      <c r="A326" s="81"/>
      <c r="B326" s="81"/>
      <c r="C326" s="81"/>
      <c r="D326" s="81"/>
      <c r="E326" s="81"/>
      <c r="F326" s="81"/>
      <c r="G326" s="138"/>
      <c r="H326" s="138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</row>
    <row r="327">
      <c r="A327" s="81"/>
      <c r="B327" s="81"/>
      <c r="C327" s="81"/>
      <c r="D327" s="81"/>
      <c r="E327" s="81"/>
      <c r="F327" s="81"/>
      <c r="G327" s="138"/>
      <c r="H327" s="138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</row>
    <row r="328">
      <c r="A328" s="81"/>
      <c r="B328" s="81"/>
      <c r="C328" s="81"/>
      <c r="D328" s="81"/>
      <c r="E328" s="81"/>
      <c r="F328" s="81"/>
      <c r="G328" s="138"/>
      <c r="H328" s="138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</row>
    <row r="329">
      <c r="A329" s="81"/>
      <c r="B329" s="81"/>
      <c r="C329" s="81"/>
      <c r="D329" s="81"/>
      <c r="E329" s="81"/>
      <c r="F329" s="81"/>
      <c r="G329" s="138"/>
      <c r="H329" s="138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</row>
    <row r="330">
      <c r="A330" s="81"/>
      <c r="B330" s="81"/>
      <c r="C330" s="81"/>
      <c r="D330" s="81"/>
      <c r="E330" s="81"/>
      <c r="F330" s="81"/>
      <c r="G330" s="138"/>
      <c r="H330" s="138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</row>
    <row r="331">
      <c r="A331" s="81"/>
      <c r="B331" s="81"/>
      <c r="C331" s="81"/>
      <c r="D331" s="81"/>
      <c r="E331" s="81"/>
      <c r="F331" s="81"/>
      <c r="G331" s="138"/>
      <c r="H331" s="138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</row>
    <row r="332">
      <c r="A332" s="81"/>
      <c r="B332" s="81"/>
      <c r="C332" s="81"/>
      <c r="D332" s="81"/>
      <c r="E332" s="81"/>
      <c r="F332" s="81"/>
      <c r="G332" s="138"/>
      <c r="H332" s="138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</row>
    <row r="333">
      <c r="A333" s="81"/>
      <c r="B333" s="81"/>
      <c r="C333" s="81"/>
      <c r="D333" s="81"/>
      <c r="E333" s="81"/>
      <c r="F333" s="81"/>
      <c r="G333" s="138"/>
      <c r="H333" s="138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</row>
    <row r="334">
      <c r="A334" s="81"/>
      <c r="B334" s="81"/>
      <c r="C334" s="81"/>
      <c r="D334" s="81"/>
      <c r="E334" s="81"/>
      <c r="F334" s="81"/>
      <c r="G334" s="138"/>
      <c r="H334" s="138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</row>
    <row r="335">
      <c r="A335" s="81"/>
      <c r="B335" s="81"/>
      <c r="C335" s="81"/>
      <c r="D335" s="81"/>
      <c r="E335" s="81"/>
      <c r="F335" s="81"/>
      <c r="G335" s="138"/>
      <c r="H335" s="138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</row>
    <row r="336">
      <c r="A336" s="81"/>
      <c r="B336" s="81"/>
      <c r="C336" s="81"/>
      <c r="D336" s="81"/>
      <c r="E336" s="81"/>
      <c r="F336" s="81"/>
      <c r="G336" s="138"/>
      <c r="H336" s="138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</row>
    <row r="337">
      <c r="A337" s="81"/>
      <c r="B337" s="81"/>
      <c r="C337" s="81"/>
      <c r="D337" s="81"/>
      <c r="E337" s="81"/>
      <c r="F337" s="81"/>
      <c r="G337" s="138"/>
      <c r="H337" s="138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</row>
    <row r="338">
      <c r="A338" s="81"/>
      <c r="B338" s="81"/>
      <c r="C338" s="81"/>
      <c r="D338" s="81"/>
      <c r="E338" s="81"/>
      <c r="F338" s="81"/>
      <c r="G338" s="138"/>
      <c r="H338" s="138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</row>
    <row r="339">
      <c r="A339" s="81"/>
      <c r="B339" s="81"/>
      <c r="C339" s="81"/>
      <c r="D339" s="81"/>
      <c r="E339" s="81"/>
      <c r="F339" s="81"/>
      <c r="G339" s="138"/>
      <c r="H339" s="138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</row>
    <row r="340">
      <c r="A340" s="81"/>
      <c r="B340" s="81"/>
      <c r="C340" s="81"/>
      <c r="D340" s="81"/>
      <c r="E340" s="81"/>
      <c r="F340" s="81"/>
      <c r="G340" s="138"/>
      <c r="H340" s="138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</row>
    <row r="341">
      <c r="A341" s="81"/>
      <c r="B341" s="81"/>
      <c r="C341" s="81"/>
      <c r="D341" s="81"/>
      <c r="E341" s="81"/>
      <c r="F341" s="81"/>
      <c r="G341" s="138"/>
      <c r="H341" s="138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</row>
    <row r="342">
      <c r="A342" s="81"/>
      <c r="B342" s="81"/>
      <c r="C342" s="81"/>
      <c r="D342" s="81"/>
      <c r="E342" s="81"/>
      <c r="F342" s="81"/>
      <c r="G342" s="138"/>
      <c r="H342" s="138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</row>
    <row r="343">
      <c r="A343" s="81"/>
      <c r="B343" s="81"/>
      <c r="C343" s="81"/>
      <c r="D343" s="81"/>
      <c r="E343" s="81"/>
      <c r="F343" s="81"/>
      <c r="G343" s="138"/>
      <c r="H343" s="138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</row>
    <row r="344">
      <c r="A344" s="81"/>
      <c r="B344" s="81"/>
      <c r="C344" s="81"/>
      <c r="D344" s="81"/>
      <c r="E344" s="81"/>
      <c r="F344" s="81"/>
      <c r="G344" s="138"/>
      <c r="H344" s="138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</row>
    <row r="345">
      <c r="A345" s="81"/>
      <c r="B345" s="81"/>
      <c r="C345" s="81"/>
      <c r="D345" s="81"/>
      <c r="E345" s="81"/>
      <c r="F345" s="81"/>
      <c r="G345" s="138"/>
      <c r="H345" s="138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</row>
    <row r="346">
      <c r="A346" s="81"/>
      <c r="B346" s="81"/>
      <c r="C346" s="81"/>
      <c r="D346" s="81"/>
      <c r="E346" s="81"/>
      <c r="F346" s="81"/>
      <c r="G346" s="138"/>
      <c r="H346" s="138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</row>
    <row r="347">
      <c r="A347" s="81"/>
      <c r="B347" s="81"/>
      <c r="C347" s="81"/>
      <c r="D347" s="81"/>
      <c r="E347" s="81"/>
      <c r="F347" s="81"/>
      <c r="G347" s="138"/>
      <c r="H347" s="138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</row>
    <row r="348">
      <c r="A348" s="81"/>
      <c r="B348" s="81"/>
      <c r="C348" s="81"/>
      <c r="D348" s="81"/>
      <c r="E348" s="81"/>
      <c r="F348" s="81"/>
      <c r="G348" s="138"/>
      <c r="H348" s="138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</row>
    <row r="349">
      <c r="A349" s="81"/>
      <c r="B349" s="81"/>
      <c r="C349" s="81"/>
      <c r="D349" s="81"/>
      <c r="E349" s="81"/>
      <c r="F349" s="81"/>
      <c r="G349" s="138"/>
      <c r="H349" s="138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</row>
    <row r="350">
      <c r="A350" s="81"/>
      <c r="B350" s="81"/>
      <c r="C350" s="81"/>
      <c r="D350" s="81"/>
      <c r="E350" s="81"/>
      <c r="F350" s="81"/>
      <c r="G350" s="138"/>
      <c r="H350" s="138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</row>
    <row r="351">
      <c r="A351" s="81"/>
      <c r="B351" s="81"/>
      <c r="C351" s="81"/>
      <c r="D351" s="81"/>
      <c r="E351" s="81"/>
      <c r="F351" s="81"/>
      <c r="G351" s="138"/>
      <c r="H351" s="138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</row>
    <row r="352">
      <c r="A352" s="81"/>
      <c r="B352" s="81"/>
      <c r="C352" s="81"/>
      <c r="D352" s="81"/>
      <c r="E352" s="81"/>
      <c r="F352" s="81"/>
      <c r="G352" s="138"/>
      <c r="H352" s="138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</row>
    <row r="353">
      <c r="A353" s="81"/>
      <c r="B353" s="81"/>
      <c r="C353" s="81"/>
      <c r="D353" s="81"/>
      <c r="E353" s="81"/>
      <c r="F353" s="81"/>
      <c r="G353" s="138"/>
      <c r="H353" s="138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</row>
    <row r="354">
      <c r="A354" s="81"/>
      <c r="B354" s="81"/>
      <c r="C354" s="81"/>
      <c r="D354" s="81"/>
      <c r="E354" s="81"/>
      <c r="F354" s="81"/>
      <c r="G354" s="138"/>
      <c r="H354" s="138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</row>
    <row r="355">
      <c r="A355" s="81"/>
      <c r="B355" s="81"/>
      <c r="C355" s="81"/>
      <c r="D355" s="81"/>
      <c r="E355" s="81"/>
      <c r="F355" s="81"/>
      <c r="G355" s="138"/>
      <c r="H355" s="138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</row>
    <row r="356">
      <c r="A356" s="81"/>
      <c r="B356" s="81"/>
      <c r="C356" s="81"/>
      <c r="D356" s="81"/>
      <c r="E356" s="81"/>
      <c r="F356" s="81"/>
      <c r="G356" s="138"/>
      <c r="H356" s="138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</row>
    <row r="357">
      <c r="A357" s="81"/>
      <c r="B357" s="81"/>
      <c r="C357" s="81"/>
      <c r="D357" s="81"/>
      <c r="E357" s="81"/>
      <c r="F357" s="81"/>
      <c r="G357" s="138"/>
      <c r="H357" s="138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</row>
    <row r="358">
      <c r="A358" s="81"/>
      <c r="B358" s="81"/>
      <c r="C358" s="81"/>
      <c r="D358" s="81"/>
      <c r="E358" s="81"/>
      <c r="F358" s="81"/>
      <c r="G358" s="138"/>
      <c r="H358" s="138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</row>
    <row r="359">
      <c r="A359" s="81"/>
      <c r="B359" s="81"/>
      <c r="C359" s="81"/>
      <c r="D359" s="81"/>
      <c r="E359" s="81"/>
      <c r="F359" s="81"/>
      <c r="G359" s="138"/>
      <c r="H359" s="138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</row>
    <row r="360">
      <c r="A360" s="81"/>
      <c r="B360" s="81"/>
      <c r="C360" s="81"/>
      <c r="D360" s="81"/>
      <c r="E360" s="81"/>
      <c r="F360" s="81"/>
      <c r="G360" s="138"/>
      <c r="H360" s="138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</row>
    <row r="361">
      <c r="A361" s="81"/>
      <c r="B361" s="81"/>
      <c r="C361" s="81"/>
      <c r="D361" s="81"/>
      <c r="E361" s="81"/>
      <c r="F361" s="81"/>
      <c r="G361" s="138"/>
      <c r="H361" s="138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</row>
    <row r="362">
      <c r="A362" s="81"/>
      <c r="B362" s="81"/>
      <c r="C362" s="81"/>
      <c r="D362" s="81"/>
      <c r="E362" s="81"/>
      <c r="F362" s="81"/>
      <c r="G362" s="138"/>
      <c r="H362" s="138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</row>
    <row r="363">
      <c r="A363" s="81"/>
      <c r="B363" s="81"/>
      <c r="C363" s="81"/>
      <c r="D363" s="81"/>
      <c r="E363" s="81"/>
      <c r="F363" s="81"/>
      <c r="G363" s="138"/>
      <c r="H363" s="138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</row>
    <row r="364">
      <c r="A364" s="81"/>
      <c r="B364" s="81"/>
      <c r="C364" s="81"/>
      <c r="D364" s="81"/>
      <c r="E364" s="81"/>
      <c r="F364" s="81"/>
      <c r="G364" s="138"/>
      <c r="H364" s="138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</row>
    <row r="365">
      <c r="A365" s="81"/>
      <c r="B365" s="81"/>
      <c r="C365" s="81"/>
      <c r="D365" s="81"/>
      <c r="E365" s="81"/>
      <c r="F365" s="81"/>
      <c r="G365" s="138"/>
      <c r="H365" s="138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</row>
    <row r="366">
      <c r="A366" s="81"/>
      <c r="B366" s="81"/>
      <c r="C366" s="81"/>
      <c r="D366" s="81"/>
      <c r="E366" s="81"/>
      <c r="F366" s="81"/>
      <c r="G366" s="138"/>
      <c r="H366" s="138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</row>
    <row r="367">
      <c r="A367" s="81"/>
      <c r="B367" s="81"/>
      <c r="C367" s="81"/>
      <c r="D367" s="81"/>
      <c r="E367" s="81"/>
      <c r="F367" s="81"/>
      <c r="G367" s="138"/>
      <c r="H367" s="138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</row>
    <row r="368">
      <c r="A368" s="81"/>
      <c r="B368" s="81"/>
      <c r="C368" s="81"/>
      <c r="D368" s="81"/>
      <c r="E368" s="81"/>
      <c r="F368" s="81"/>
      <c r="G368" s="138"/>
      <c r="H368" s="138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</row>
    <row r="369">
      <c r="A369" s="81"/>
      <c r="B369" s="81"/>
      <c r="C369" s="81"/>
      <c r="D369" s="81"/>
      <c r="E369" s="81"/>
      <c r="F369" s="81"/>
      <c r="G369" s="138"/>
      <c r="H369" s="138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</row>
    <row r="370">
      <c r="A370" s="81"/>
      <c r="B370" s="81"/>
      <c r="C370" s="81"/>
      <c r="D370" s="81"/>
      <c r="E370" s="81"/>
      <c r="F370" s="81"/>
      <c r="G370" s="138"/>
      <c r="H370" s="138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</row>
    <row r="371">
      <c r="A371" s="81"/>
      <c r="B371" s="81"/>
      <c r="C371" s="81"/>
      <c r="D371" s="81"/>
      <c r="E371" s="81"/>
      <c r="F371" s="81"/>
      <c r="G371" s="138"/>
      <c r="H371" s="138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</row>
    <row r="372">
      <c r="A372" s="81"/>
      <c r="B372" s="81"/>
      <c r="C372" s="81"/>
      <c r="D372" s="81"/>
      <c r="E372" s="81"/>
      <c r="F372" s="81"/>
      <c r="G372" s="138"/>
      <c r="H372" s="138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</row>
    <row r="373">
      <c r="A373" s="81"/>
      <c r="B373" s="81"/>
      <c r="C373" s="81"/>
      <c r="D373" s="81"/>
      <c r="E373" s="81"/>
      <c r="F373" s="81"/>
      <c r="G373" s="138"/>
      <c r="H373" s="138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</row>
    <row r="374">
      <c r="A374" s="81"/>
      <c r="B374" s="81"/>
      <c r="C374" s="81"/>
      <c r="D374" s="81"/>
      <c r="E374" s="81"/>
      <c r="F374" s="81"/>
      <c r="G374" s="138"/>
      <c r="H374" s="138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</row>
    <row r="375">
      <c r="A375" s="81"/>
      <c r="B375" s="81"/>
      <c r="C375" s="81"/>
      <c r="D375" s="81"/>
      <c r="E375" s="81"/>
      <c r="F375" s="81"/>
      <c r="G375" s="138"/>
      <c r="H375" s="138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</row>
    <row r="376">
      <c r="A376" s="81"/>
      <c r="B376" s="81"/>
      <c r="C376" s="81"/>
      <c r="D376" s="81"/>
      <c r="E376" s="81"/>
      <c r="F376" s="81"/>
      <c r="G376" s="138"/>
      <c r="H376" s="138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</row>
    <row r="377">
      <c r="A377" s="81"/>
      <c r="B377" s="81"/>
      <c r="C377" s="81"/>
      <c r="D377" s="81"/>
      <c r="E377" s="81"/>
      <c r="F377" s="81"/>
      <c r="G377" s="138"/>
      <c r="H377" s="138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</row>
    <row r="378">
      <c r="A378" s="81"/>
      <c r="B378" s="81"/>
      <c r="C378" s="81"/>
      <c r="D378" s="81"/>
      <c r="E378" s="81"/>
      <c r="F378" s="81"/>
      <c r="G378" s="138"/>
      <c r="H378" s="138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</row>
    <row r="379">
      <c r="A379" s="81"/>
      <c r="B379" s="81"/>
      <c r="C379" s="81"/>
      <c r="D379" s="81"/>
      <c r="E379" s="81"/>
      <c r="F379" s="81"/>
      <c r="G379" s="138"/>
      <c r="H379" s="138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</row>
    <row r="380">
      <c r="A380" s="81"/>
      <c r="B380" s="81"/>
      <c r="C380" s="81"/>
      <c r="D380" s="81"/>
      <c r="E380" s="81"/>
      <c r="F380" s="81"/>
      <c r="G380" s="138"/>
      <c r="H380" s="138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</row>
    <row r="381">
      <c r="A381" s="81"/>
      <c r="B381" s="81"/>
      <c r="C381" s="81"/>
      <c r="D381" s="81"/>
      <c r="E381" s="81"/>
      <c r="F381" s="81"/>
      <c r="G381" s="138"/>
      <c r="H381" s="138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</row>
    <row r="382">
      <c r="A382" s="81"/>
      <c r="B382" s="81"/>
      <c r="C382" s="81"/>
      <c r="D382" s="81"/>
      <c r="E382" s="81"/>
      <c r="F382" s="81"/>
      <c r="G382" s="138"/>
      <c r="H382" s="138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</row>
    <row r="383">
      <c r="A383" s="81"/>
      <c r="B383" s="81"/>
      <c r="C383" s="81"/>
      <c r="D383" s="81"/>
      <c r="E383" s="81"/>
      <c r="F383" s="81"/>
      <c r="G383" s="138"/>
      <c r="H383" s="138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</row>
    <row r="384">
      <c r="A384" s="81"/>
      <c r="B384" s="81"/>
      <c r="C384" s="81"/>
      <c r="D384" s="81"/>
      <c r="E384" s="81"/>
      <c r="F384" s="81"/>
      <c r="G384" s="138"/>
      <c r="H384" s="138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</row>
    <row r="385">
      <c r="A385" s="81"/>
      <c r="B385" s="81"/>
      <c r="C385" s="81"/>
      <c r="D385" s="81"/>
      <c r="E385" s="81"/>
      <c r="F385" s="81"/>
      <c r="G385" s="138"/>
      <c r="H385" s="138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</row>
    <row r="386">
      <c r="A386" s="81"/>
      <c r="B386" s="81"/>
      <c r="C386" s="81"/>
      <c r="D386" s="81"/>
      <c r="E386" s="81"/>
      <c r="F386" s="81"/>
      <c r="G386" s="138"/>
      <c r="H386" s="138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</row>
    <row r="387">
      <c r="A387" s="81"/>
      <c r="B387" s="81"/>
      <c r="C387" s="81"/>
      <c r="D387" s="81"/>
      <c r="E387" s="81"/>
      <c r="F387" s="81"/>
      <c r="G387" s="138"/>
      <c r="H387" s="138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</row>
    <row r="388">
      <c r="A388" s="81"/>
      <c r="B388" s="81"/>
      <c r="C388" s="81"/>
      <c r="D388" s="81"/>
      <c r="E388" s="81"/>
      <c r="F388" s="81"/>
      <c r="G388" s="138"/>
      <c r="H388" s="138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</row>
    <row r="389">
      <c r="A389" s="81"/>
      <c r="B389" s="81"/>
      <c r="C389" s="81"/>
      <c r="D389" s="81"/>
      <c r="E389" s="81"/>
      <c r="F389" s="81"/>
      <c r="G389" s="138"/>
      <c r="H389" s="138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</row>
    <row r="390">
      <c r="A390" s="81"/>
      <c r="B390" s="81"/>
      <c r="C390" s="81"/>
      <c r="D390" s="81"/>
      <c r="E390" s="81"/>
      <c r="F390" s="81"/>
      <c r="G390" s="138"/>
      <c r="H390" s="138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</row>
    <row r="391">
      <c r="A391" s="81"/>
      <c r="B391" s="81"/>
      <c r="C391" s="81"/>
      <c r="D391" s="81"/>
      <c r="E391" s="81"/>
      <c r="F391" s="81"/>
      <c r="G391" s="138"/>
      <c r="H391" s="138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</row>
    <row r="392">
      <c r="A392" s="81"/>
      <c r="B392" s="81"/>
      <c r="C392" s="81"/>
      <c r="D392" s="81"/>
      <c r="E392" s="81"/>
      <c r="F392" s="81"/>
      <c r="G392" s="138"/>
      <c r="H392" s="138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</row>
    <row r="393">
      <c r="A393" s="81"/>
      <c r="B393" s="81"/>
      <c r="C393" s="81"/>
      <c r="D393" s="81"/>
      <c r="E393" s="81"/>
      <c r="F393" s="81"/>
      <c r="G393" s="138"/>
      <c r="H393" s="138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</row>
    <row r="394">
      <c r="A394" s="81"/>
      <c r="B394" s="81"/>
      <c r="C394" s="81"/>
      <c r="D394" s="81"/>
      <c r="E394" s="81"/>
      <c r="F394" s="81"/>
      <c r="G394" s="138"/>
      <c r="H394" s="138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</row>
    <row r="395">
      <c r="A395" s="81"/>
      <c r="B395" s="81"/>
      <c r="C395" s="81"/>
      <c r="D395" s="81"/>
      <c r="E395" s="81"/>
      <c r="F395" s="81"/>
      <c r="G395" s="138"/>
      <c r="H395" s="138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</row>
    <row r="396">
      <c r="A396" s="81"/>
      <c r="B396" s="81"/>
      <c r="C396" s="81"/>
      <c r="D396" s="81"/>
      <c r="E396" s="81"/>
      <c r="F396" s="81"/>
      <c r="G396" s="138"/>
      <c r="H396" s="138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</row>
    <row r="397">
      <c r="A397" s="81"/>
      <c r="B397" s="81"/>
      <c r="C397" s="81"/>
      <c r="D397" s="81"/>
      <c r="E397" s="81"/>
      <c r="F397" s="81"/>
      <c r="G397" s="138"/>
      <c r="H397" s="138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</row>
    <row r="398">
      <c r="A398" s="81"/>
      <c r="B398" s="81"/>
      <c r="C398" s="81"/>
      <c r="D398" s="81"/>
      <c r="E398" s="81"/>
      <c r="F398" s="81"/>
      <c r="G398" s="138"/>
      <c r="H398" s="138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</row>
    <row r="399">
      <c r="A399" s="81"/>
      <c r="B399" s="81"/>
      <c r="C399" s="81"/>
      <c r="D399" s="81"/>
      <c r="E399" s="81"/>
      <c r="F399" s="81"/>
      <c r="G399" s="138"/>
      <c r="H399" s="138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</row>
    <row r="400">
      <c r="A400" s="81"/>
      <c r="B400" s="81"/>
      <c r="C400" s="81"/>
      <c r="D400" s="81"/>
      <c r="E400" s="81"/>
      <c r="F400" s="81"/>
      <c r="G400" s="138"/>
      <c r="H400" s="138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</row>
    <row r="401">
      <c r="A401" s="81"/>
      <c r="B401" s="81"/>
      <c r="C401" s="81"/>
      <c r="D401" s="81"/>
      <c r="E401" s="81"/>
      <c r="F401" s="81"/>
      <c r="G401" s="138"/>
      <c r="H401" s="138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</row>
    <row r="402">
      <c r="A402" s="81"/>
      <c r="B402" s="81"/>
      <c r="C402" s="81"/>
      <c r="D402" s="81"/>
      <c r="E402" s="81"/>
      <c r="F402" s="81"/>
      <c r="G402" s="138"/>
      <c r="H402" s="138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</row>
    <row r="403">
      <c r="A403" s="81"/>
      <c r="B403" s="81"/>
      <c r="C403" s="81"/>
      <c r="D403" s="81"/>
      <c r="E403" s="81"/>
      <c r="F403" s="81"/>
      <c r="G403" s="138"/>
      <c r="H403" s="138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</row>
    <row r="404">
      <c r="A404" s="81"/>
      <c r="B404" s="81"/>
      <c r="C404" s="81"/>
      <c r="D404" s="81"/>
      <c r="E404" s="81"/>
      <c r="F404" s="81"/>
      <c r="G404" s="138"/>
      <c r="H404" s="138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</row>
    <row r="405">
      <c r="A405" s="81"/>
      <c r="B405" s="81"/>
      <c r="C405" s="81"/>
      <c r="D405" s="81"/>
      <c r="E405" s="81"/>
      <c r="F405" s="81"/>
      <c r="G405" s="138"/>
      <c r="H405" s="138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</row>
    <row r="406">
      <c r="A406" s="81"/>
      <c r="B406" s="81"/>
      <c r="C406" s="81"/>
      <c r="D406" s="81"/>
      <c r="E406" s="81"/>
      <c r="F406" s="81"/>
      <c r="G406" s="138"/>
      <c r="H406" s="138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</row>
    <row r="407">
      <c r="A407" s="81"/>
      <c r="B407" s="81"/>
      <c r="C407" s="81"/>
      <c r="D407" s="81"/>
      <c r="E407" s="81"/>
      <c r="F407" s="81"/>
      <c r="G407" s="138"/>
      <c r="H407" s="138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</row>
    <row r="408">
      <c r="A408" s="81"/>
      <c r="B408" s="81"/>
      <c r="C408" s="81"/>
      <c r="D408" s="81"/>
      <c r="E408" s="81"/>
      <c r="F408" s="81"/>
      <c r="G408" s="138"/>
      <c r="H408" s="138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</row>
    <row r="409">
      <c r="A409" s="81"/>
      <c r="B409" s="81"/>
      <c r="C409" s="81"/>
      <c r="D409" s="81"/>
      <c r="E409" s="81"/>
      <c r="F409" s="81"/>
      <c r="G409" s="138"/>
      <c r="H409" s="138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</row>
    <row r="410">
      <c r="A410" s="81"/>
      <c r="B410" s="81"/>
      <c r="C410" s="81"/>
      <c r="D410" s="81"/>
      <c r="E410" s="81"/>
      <c r="F410" s="81"/>
      <c r="G410" s="138"/>
      <c r="H410" s="138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</row>
    <row r="411">
      <c r="A411" s="81"/>
      <c r="B411" s="81"/>
      <c r="C411" s="81"/>
      <c r="D411" s="81"/>
      <c r="E411" s="81"/>
      <c r="F411" s="81"/>
      <c r="G411" s="138"/>
      <c r="H411" s="138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</row>
    <row r="412">
      <c r="A412" s="81"/>
      <c r="B412" s="81"/>
      <c r="C412" s="81"/>
      <c r="D412" s="81"/>
      <c r="E412" s="81"/>
      <c r="F412" s="81"/>
      <c r="G412" s="138"/>
      <c r="H412" s="138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</row>
    <row r="413">
      <c r="A413" s="81"/>
      <c r="B413" s="81"/>
      <c r="C413" s="81"/>
      <c r="D413" s="81"/>
      <c r="E413" s="81"/>
      <c r="F413" s="81"/>
      <c r="G413" s="138"/>
      <c r="H413" s="138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</row>
    <row r="414">
      <c r="A414" s="81"/>
      <c r="B414" s="81"/>
      <c r="C414" s="81"/>
      <c r="D414" s="81"/>
      <c r="E414" s="81"/>
      <c r="F414" s="81"/>
      <c r="G414" s="138"/>
      <c r="H414" s="138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</row>
    <row r="415">
      <c r="A415" s="81"/>
      <c r="B415" s="81"/>
      <c r="C415" s="81"/>
      <c r="D415" s="81"/>
      <c r="E415" s="81"/>
      <c r="F415" s="81"/>
      <c r="G415" s="138"/>
      <c r="H415" s="138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</row>
    <row r="416">
      <c r="A416" s="81"/>
      <c r="B416" s="81"/>
      <c r="C416" s="81"/>
      <c r="D416" s="81"/>
      <c r="E416" s="81"/>
      <c r="F416" s="81"/>
      <c r="G416" s="138"/>
      <c r="H416" s="138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</row>
    <row r="417">
      <c r="A417" s="81"/>
      <c r="B417" s="81"/>
      <c r="C417" s="81"/>
      <c r="D417" s="81"/>
      <c r="E417" s="81"/>
      <c r="F417" s="81"/>
      <c r="G417" s="138"/>
      <c r="H417" s="138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</row>
    <row r="418">
      <c r="A418" s="81"/>
      <c r="B418" s="81"/>
      <c r="C418" s="81"/>
      <c r="D418" s="81"/>
      <c r="E418" s="81"/>
      <c r="F418" s="81"/>
      <c r="G418" s="138"/>
      <c r="H418" s="138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</row>
    <row r="419">
      <c r="A419" s="81"/>
      <c r="B419" s="81"/>
      <c r="C419" s="81"/>
      <c r="D419" s="81"/>
      <c r="E419" s="81"/>
      <c r="F419" s="81"/>
      <c r="G419" s="138"/>
      <c r="H419" s="138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</row>
    <row r="420">
      <c r="A420" s="81"/>
      <c r="B420" s="81"/>
      <c r="C420" s="81"/>
      <c r="D420" s="81"/>
      <c r="E420" s="81"/>
      <c r="F420" s="81"/>
      <c r="G420" s="138"/>
      <c r="H420" s="138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</row>
    <row r="421">
      <c r="A421" s="81"/>
      <c r="B421" s="81"/>
      <c r="C421" s="81"/>
      <c r="D421" s="81"/>
      <c r="E421" s="81"/>
      <c r="F421" s="81"/>
      <c r="G421" s="138"/>
      <c r="H421" s="138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</row>
    <row r="422">
      <c r="A422" s="81"/>
      <c r="B422" s="81"/>
      <c r="C422" s="81"/>
      <c r="D422" s="81"/>
      <c r="E422" s="81"/>
      <c r="F422" s="81"/>
      <c r="G422" s="138"/>
      <c r="H422" s="138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</row>
    <row r="423">
      <c r="A423" s="81"/>
      <c r="B423" s="81"/>
      <c r="C423" s="81"/>
      <c r="D423" s="81"/>
      <c r="E423" s="81"/>
      <c r="F423" s="81"/>
      <c r="G423" s="138"/>
      <c r="H423" s="138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</row>
    <row r="424">
      <c r="A424" s="81"/>
      <c r="B424" s="81"/>
      <c r="C424" s="81"/>
      <c r="D424" s="81"/>
      <c r="E424" s="81"/>
      <c r="F424" s="81"/>
      <c r="G424" s="138"/>
      <c r="H424" s="138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</row>
    <row r="425">
      <c r="A425" s="81"/>
      <c r="B425" s="81"/>
      <c r="C425" s="81"/>
      <c r="D425" s="81"/>
      <c r="E425" s="81"/>
      <c r="F425" s="81"/>
      <c r="G425" s="138"/>
      <c r="H425" s="138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</row>
    <row r="426">
      <c r="A426" s="81"/>
      <c r="B426" s="81"/>
      <c r="C426" s="81"/>
      <c r="D426" s="81"/>
      <c r="E426" s="81"/>
      <c r="F426" s="81"/>
      <c r="G426" s="138"/>
      <c r="H426" s="138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</row>
    <row r="427">
      <c r="A427" s="81"/>
      <c r="B427" s="81"/>
      <c r="C427" s="81"/>
      <c r="D427" s="81"/>
      <c r="E427" s="81"/>
      <c r="F427" s="81"/>
      <c r="G427" s="138"/>
      <c r="H427" s="138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</row>
    <row r="428">
      <c r="A428" s="81"/>
      <c r="B428" s="81"/>
      <c r="C428" s="81"/>
      <c r="D428" s="81"/>
      <c r="E428" s="81"/>
      <c r="F428" s="81"/>
      <c r="G428" s="138"/>
      <c r="H428" s="138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</row>
    <row r="429">
      <c r="A429" s="81"/>
      <c r="B429" s="81"/>
      <c r="C429" s="81"/>
      <c r="D429" s="81"/>
      <c r="E429" s="81"/>
      <c r="F429" s="81"/>
      <c r="G429" s="138"/>
      <c r="H429" s="138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</row>
    <row r="430">
      <c r="A430" s="81"/>
      <c r="B430" s="81"/>
      <c r="C430" s="81"/>
      <c r="D430" s="81"/>
      <c r="E430" s="81"/>
      <c r="F430" s="81"/>
      <c r="G430" s="138"/>
      <c r="H430" s="138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</row>
    <row r="431">
      <c r="A431" s="81"/>
      <c r="B431" s="81"/>
      <c r="C431" s="81"/>
      <c r="D431" s="81"/>
      <c r="E431" s="81"/>
      <c r="F431" s="81"/>
      <c r="G431" s="138"/>
      <c r="H431" s="138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</row>
    <row r="432">
      <c r="A432" s="81"/>
      <c r="B432" s="81"/>
      <c r="C432" s="81"/>
      <c r="D432" s="81"/>
      <c r="E432" s="81"/>
      <c r="F432" s="81"/>
      <c r="G432" s="138"/>
      <c r="H432" s="138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</row>
    <row r="433">
      <c r="A433" s="81"/>
      <c r="B433" s="81"/>
      <c r="C433" s="81"/>
      <c r="D433" s="81"/>
      <c r="E433" s="81"/>
      <c r="F433" s="81"/>
      <c r="G433" s="138"/>
      <c r="H433" s="138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</row>
    <row r="434">
      <c r="A434" s="81"/>
      <c r="B434" s="81"/>
      <c r="C434" s="81"/>
      <c r="D434" s="81"/>
      <c r="E434" s="81"/>
      <c r="F434" s="81"/>
      <c r="G434" s="138"/>
      <c r="H434" s="138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</row>
    <row r="435">
      <c r="A435" s="81"/>
      <c r="B435" s="81"/>
      <c r="C435" s="81"/>
      <c r="D435" s="81"/>
      <c r="E435" s="81"/>
      <c r="F435" s="81"/>
      <c r="G435" s="138"/>
      <c r="H435" s="138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</row>
    <row r="436">
      <c r="A436" s="81"/>
      <c r="B436" s="81"/>
      <c r="C436" s="81"/>
      <c r="D436" s="81"/>
      <c r="E436" s="81"/>
      <c r="F436" s="81"/>
      <c r="G436" s="138"/>
      <c r="H436" s="138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</row>
    <row r="437">
      <c r="A437" s="81"/>
      <c r="B437" s="81"/>
      <c r="C437" s="81"/>
      <c r="D437" s="81"/>
      <c r="E437" s="81"/>
      <c r="F437" s="81"/>
      <c r="G437" s="138"/>
      <c r="H437" s="138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</row>
    <row r="438">
      <c r="A438" s="81"/>
      <c r="B438" s="81"/>
      <c r="C438" s="81"/>
      <c r="D438" s="81"/>
      <c r="E438" s="81"/>
      <c r="F438" s="81"/>
      <c r="G438" s="138"/>
      <c r="H438" s="138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</row>
    <row r="439">
      <c r="A439" s="81"/>
      <c r="B439" s="81"/>
      <c r="C439" s="81"/>
      <c r="D439" s="81"/>
      <c r="E439" s="81"/>
      <c r="F439" s="81"/>
      <c r="G439" s="138"/>
      <c r="H439" s="138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</row>
    <row r="440">
      <c r="A440" s="81"/>
      <c r="B440" s="81"/>
      <c r="C440" s="81"/>
      <c r="D440" s="81"/>
      <c r="E440" s="81"/>
      <c r="F440" s="81"/>
      <c r="G440" s="138"/>
      <c r="H440" s="138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</row>
    <row r="441">
      <c r="A441" s="81"/>
      <c r="B441" s="81"/>
      <c r="C441" s="81"/>
      <c r="D441" s="81"/>
      <c r="E441" s="81"/>
      <c r="F441" s="81"/>
      <c r="G441" s="138"/>
      <c r="H441" s="138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</row>
    <row r="442">
      <c r="A442" s="81"/>
      <c r="B442" s="81"/>
      <c r="C442" s="81"/>
      <c r="D442" s="81"/>
      <c r="E442" s="81"/>
      <c r="F442" s="81"/>
      <c r="G442" s="138"/>
      <c r="H442" s="138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</row>
    <row r="443">
      <c r="A443" s="81"/>
      <c r="B443" s="81"/>
      <c r="C443" s="81"/>
      <c r="D443" s="81"/>
      <c r="E443" s="81"/>
      <c r="F443" s="81"/>
      <c r="G443" s="138"/>
      <c r="H443" s="138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</row>
    <row r="444">
      <c r="A444" s="81"/>
      <c r="B444" s="81"/>
      <c r="C444" s="81"/>
      <c r="D444" s="81"/>
      <c r="E444" s="81"/>
      <c r="F444" s="81"/>
      <c r="G444" s="138"/>
      <c r="H444" s="138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</row>
    <row r="445">
      <c r="A445" s="81"/>
      <c r="B445" s="81"/>
      <c r="C445" s="81"/>
      <c r="D445" s="81"/>
      <c r="E445" s="81"/>
      <c r="F445" s="81"/>
      <c r="G445" s="138"/>
      <c r="H445" s="138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</row>
    <row r="446">
      <c r="A446" s="81"/>
      <c r="B446" s="81"/>
      <c r="C446" s="81"/>
      <c r="D446" s="81"/>
      <c r="E446" s="81"/>
      <c r="F446" s="81"/>
      <c r="G446" s="138"/>
      <c r="H446" s="138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</row>
    <row r="447">
      <c r="A447" s="81"/>
      <c r="B447" s="81"/>
      <c r="C447" s="81"/>
      <c r="D447" s="81"/>
      <c r="E447" s="81"/>
      <c r="F447" s="81"/>
      <c r="G447" s="138"/>
      <c r="H447" s="138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</row>
    <row r="448">
      <c r="A448" s="81"/>
      <c r="B448" s="81"/>
      <c r="C448" s="81"/>
      <c r="D448" s="81"/>
      <c r="E448" s="81"/>
      <c r="F448" s="81"/>
      <c r="G448" s="138"/>
      <c r="H448" s="138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</row>
    <row r="449">
      <c r="A449" s="81"/>
      <c r="B449" s="81"/>
      <c r="C449" s="81"/>
      <c r="D449" s="81"/>
      <c r="E449" s="81"/>
      <c r="F449" s="81"/>
      <c r="G449" s="138"/>
      <c r="H449" s="138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</row>
    <row r="450">
      <c r="A450" s="81"/>
      <c r="B450" s="81"/>
      <c r="C450" s="81"/>
      <c r="D450" s="81"/>
      <c r="E450" s="81"/>
      <c r="F450" s="81"/>
      <c r="G450" s="138"/>
      <c r="H450" s="138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</row>
    <row r="451">
      <c r="A451" s="81"/>
      <c r="B451" s="81"/>
      <c r="C451" s="81"/>
      <c r="D451" s="81"/>
      <c r="E451" s="81"/>
      <c r="F451" s="81"/>
      <c r="G451" s="138"/>
      <c r="H451" s="138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</row>
    <row r="452">
      <c r="A452" s="81"/>
      <c r="B452" s="81"/>
      <c r="C452" s="81"/>
      <c r="D452" s="81"/>
      <c r="E452" s="81"/>
      <c r="F452" s="81"/>
      <c r="G452" s="138"/>
      <c r="H452" s="138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</row>
    <row r="453">
      <c r="A453" s="81"/>
      <c r="B453" s="81"/>
      <c r="C453" s="81"/>
      <c r="D453" s="81"/>
      <c r="E453" s="81"/>
      <c r="F453" s="81"/>
      <c r="G453" s="138"/>
      <c r="H453" s="138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</row>
    <row r="454">
      <c r="A454" s="81"/>
      <c r="B454" s="81"/>
      <c r="C454" s="81"/>
      <c r="D454" s="81"/>
      <c r="E454" s="81"/>
      <c r="F454" s="81"/>
      <c r="G454" s="138"/>
      <c r="H454" s="138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</row>
    <row r="455">
      <c r="A455" s="81"/>
      <c r="B455" s="81"/>
      <c r="C455" s="81"/>
      <c r="D455" s="81"/>
      <c r="E455" s="81"/>
      <c r="F455" s="81"/>
      <c r="G455" s="138"/>
      <c r="H455" s="138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</row>
    <row r="456">
      <c r="A456" s="81"/>
      <c r="B456" s="81"/>
      <c r="C456" s="81"/>
      <c r="D456" s="81"/>
      <c r="E456" s="81"/>
      <c r="F456" s="81"/>
      <c r="G456" s="138"/>
      <c r="H456" s="138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</row>
    <row r="457">
      <c r="A457" s="81"/>
      <c r="B457" s="81"/>
      <c r="C457" s="81"/>
      <c r="D457" s="81"/>
      <c r="E457" s="81"/>
      <c r="F457" s="81"/>
      <c r="G457" s="138"/>
      <c r="H457" s="138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</row>
    <row r="458">
      <c r="A458" s="81"/>
      <c r="B458" s="81"/>
      <c r="C458" s="81"/>
      <c r="D458" s="81"/>
      <c r="E458" s="81"/>
      <c r="F458" s="81"/>
      <c r="G458" s="138"/>
      <c r="H458" s="138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</row>
    <row r="459">
      <c r="A459" s="81"/>
      <c r="B459" s="81"/>
      <c r="C459" s="81"/>
      <c r="D459" s="81"/>
      <c r="E459" s="81"/>
      <c r="F459" s="81"/>
      <c r="G459" s="138"/>
      <c r="H459" s="138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</row>
    <row r="460">
      <c r="A460" s="81"/>
      <c r="B460" s="81"/>
      <c r="C460" s="81"/>
      <c r="D460" s="81"/>
      <c r="E460" s="81"/>
      <c r="F460" s="81"/>
      <c r="G460" s="138"/>
      <c r="H460" s="138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</row>
    <row r="461">
      <c r="A461" s="81"/>
      <c r="B461" s="81"/>
      <c r="C461" s="81"/>
      <c r="D461" s="81"/>
      <c r="E461" s="81"/>
      <c r="F461" s="81"/>
      <c r="G461" s="138"/>
      <c r="H461" s="138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</row>
    <row r="462">
      <c r="A462" s="81"/>
      <c r="B462" s="81"/>
      <c r="C462" s="81"/>
      <c r="D462" s="81"/>
      <c r="E462" s="81"/>
      <c r="F462" s="81"/>
      <c r="G462" s="138"/>
      <c r="H462" s="138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</row>
    <row r="463">
      <c r="A463" s="81"/>
      <c r="B463" s="81"/>
      <c r="C463" s="81"/>
      <c r="D463" s="81"/>
      <c r="E463" s="81"/>
      <c r="F463" s="81"/>
      <c r="G463" s="138"/>
      <c r="H463" s="138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</row>
    <row r="464">
      <c r="A464" s="81"/>
      <c r="B464" s="81"/>
      <c r="C464" s="81"/>
      <c r="D464" s="81"/>
      <c r="E464" s="81"/>
      <c r="F464" s="81"/>
      <c r="G464" s="138"/>
      <c r="H464" s="138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</row>
    <row r="465">
      <c r="A465" s="81"/>
      <c r="B465" s="81"/>
      <c r="C465" s="81"/>
      <c r="D465" s="81"/>
      <c r="E465" s="81"/>
      <c r="F465" s="81"/>
      <c r="G465" s="138"/>
      <c r="H465" s="138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</row>
    <row r="466">
      <c r="A466" s="81"/>
      <c r="B466" s="81"/>
      <c r="C466" s="81"/>
      <c r="D466" s="81"/>
      <c r="E466" s="81"/>
      <c r="F466" s="81"/>
      <c r="G466" s="138"/>
      <c r="H466" s="138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</row>
    <row r="467">
      <c r="A467" s="81"/>
      <c r="B467" s="81"/>
      <c r="C467" s="81"/>
      <c r="D467" s="81"/>
      <c r="E467" s="81"/>
      <c r="F467" s="81"/>
      <c r="G467" s="138"/>
      <c r="H467" s="138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</row>
    <row r="468">
      <c r="A468" s="81"/>
      <c r="B468" s="81"/>
      <c r="C468" s="81"/>
      <c r="D468" s="81"/>
      <c r="E468" s="81"/>
      <c r="F468" s="81"/>
      <c r="G468" s="138"/>
      <c r="H468" s="138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</row>
    <row r="469">
      <c r="A469" s="81"/>
      <c r="B469" s="81"/>
      <c r="C469" s="81"/>
      <c r="D469" s="81"/>
      <c r="E469" s="81"/>
      <c r="F469" s="81"/>
      <c r="G469" s="138"/>
      <c r="H469" s="138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</row>
    <row r="470">
      <c r="A470" s="81"/>
      <c r="B470" s="81"/>
      <c r="C470" s="81"/>
      <c r="D470" s="81"/>
      <c r="E470" s="81"/>
      <c r="F470" s="81"/>
      <c r="G470" s="138"/>
      <c r="H470" s="138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</row>
    <row r="471">
      <c r="A471" s="81"/>
      <c r="B471" s="81"/>
      <c r="C471" s="81"/>
      <c r="D471" s="81"/>
      <c r="E471" s="81"/>
      <c r="F471" s="81"/>
      <c r="G471" s="138"/>
      <c r="H471" s="138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</row>
    <row r="472">
      <c r="A472" s="81"/>
      <c r="B472" s="81"/>
      <c r="C472" s="81"/>
      <c r="D472" s="81"/>
      <c r="E472" s="81"/>
      <c r="F472" s="81"/>
      <c r="G472" s="138"/>
      <c r="H472" s="138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>
      <c r="A473" s="81"/>
      <c r="B473" s="81"/>
      <c r="C473" s="81"/>
      <c r="D473" s="81"/>
      <c r="E473" s="81"/>
      <c r="F473" s="81"/>
      <c r="G473" s="138"/>
      <c r="H473" s="138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</row>
    <row r="474">
      <c r="A474" s="81"/>
      <c r="B474" s="81"/>
      <c r="C474" s="81"/>
      <c r="D474" s="81"/>
      <c r="E474" s="81"/>
      <c r="F474" s="81"/>
      <c r="G474" s="138"/>
      <c r="H474" s="138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</row>
    <row r="475">
      <c r="A475" s="81"/>
      <c r="B475" s="81"/>
      <c r="C475" s="81"/>
      <c r="D475" s="81"/>
      <c r="E475" s="81"/>
      <c r="F475" s="81"/>
      <c r="G475" s="138"/>
      <c r="H475" s="138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</row>
    <row r="476">
      <c r="A476" s="81"/>
      <c r="B476" s="81"/>
      <c r="C476" s="81"/>
      <c r="D476" s="81"/>
      <c r="E476" s="81"/>
      <c r="F476" s="81"/>
      <c r="G476" s="138"/>
      <c r="H476" s="138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</row>
    <row r="477">
      <c r="A477" s="81"/>
      <c r="B477" s="81"/>
      <c r="C477" s="81"/>
      <c r="D477" s="81"/>
      <c r="E477" s="81"/>
      <c r="F477" s="81"/>
      <c r="G477" s="138"/>
      <c r="H477" s="138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</row>
    <row r="478">
      <c r="A478" s="81"/>
      <c r="B478" s="81"/>
      <c r="C478" s="81"/>
      <c r="D478" s="81"/>
      <c r="E478" s="81"/>
      <c r="F478" s="81"/>
      <c r="G478" s="138"/>
      <c r="H478" s="138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</row>
    <row r="479">
      <c r="A479" s="81"/>
      <c r="B479" s="81"/>
      <c r="C479" s="81"/>
      <c r="D479" s="81"/>
      <c r="E479" s="81"/>
      <c r="F479" s="81"/>
      <c r="G479" s="138"/>
      <c r="H479" s="138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</row>
    <row r="480">
      <c r="A480" s="81"/>
      <c r="B480" s="81"/>
      <c r="C480" s="81"/>
      <c r="D480" s="81"/>
      <c r="E480" s="81"/>
      <c r="F480" s="81"/>
      <c r="G480" s="138"/>
      <c r="H480" s="138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</row>
    <row r="481">
      <c r="A481" s="81"/>
      <c r="B481" s="81"/>
      <c r="C481" s="81"/>
      <c r="D481" s="81"/>
      <c r="E481" s="81"/>
      <c r="F481" s="81"/>
      <c r="G481" s="138"/>
      <c r="H481" s="138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</row>
    <row r="482">
      <c r="A482" s="81"/>
      <c r="B482" s="81"/>
      <c r="C482" s="81"/>
      <c r="D482" s="81"/>
      <c r="E482" s="81"/>
      <c r="F482" s="81"/>
      <c r="G482" s="138"/>
      <c r="H482" s="138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</row>
    <row r="483">
      <c r="A483" s="81"/>
      <c r="B483" s="81"/>
      <c r="C483" s="81"/>
      <c r="D483" s="81"/>
      <c r="E483" s="81"/>
      <c r="F483" s="81"/>
      <c r="G483" s="138"/>
      <c r="H483" s="138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</row>
    <row r="484">
      <c r="A484" s="81"/>
      <c r="B484" s="81"/>
      <c r="C484" s="81"/>
      <c r="D484" s="81"/>
      <c r="E484" s="81"/>
      <c r="F484" s="81"/>
      <c r="G484" s="138"/>
      <c r="H484" s="138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</row>
    <row r="485">
      <c r="A485" s="81"/>
      <c r="B485" s="81"/>
      <c r="C485" s="81"/>
      <c r="D485" s="81"/>
      <c r="E485" s="81"/>
      <c r="F485" s="81"/>
      <c r="G485" s="138"/>
      <c r="H485" s="138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</row>
    <row r="486">
      <c r="A486" s="81"/>
      <c r="B486" s="81"/>
      <c r="C486" s="81"/>
      <c r="D486" s="81"/>
      <c r="E486" s="81"/>
      <c r="F486" s="81"/>
      <c r="G486" s="138"/>
      <c r="H486" s="138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</row>
    <row r="487">
      <c r="A487" s="81"/>
      <c r="B487" s="81"/>
      <c r="C487" s="81"/>
      <c r="D487" s="81"/>
      <c r="E487" s="81"/>
      <c r="F487" s="81"/>
      <c r="G487" s="138"/>
      <c r="H487" s="138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</row>
    <row r="488">
      <c r="A488" s="81"/>
      <c r="B488" s="81"/>
      <c r="C488" s="81"/>
      <c r="D488" s="81"/>
      <c r="E488" s="81"/>
      <c r="F488" s="81"/>
      <c r="G488" s="138"/>
      <c r="H488" s="138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</row>
    <row r="489">
      <c r="A489" s="81"/>
      <c r="B489" s="81"/>
      <c r="C489" s="81"/>
      <c r="D489" s="81"/>
      <c r="E489" s="81"/>
      <c r="F489" s="81"/>
      <c r="G489" s="138"/>
      <c r="H489" s="138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</row>
    <row r="490">
      <c r="A490" s="81"/>
      <c r="B490" s="81"/>
      <c r="C490" s="81"/>
      <c r="D490" s="81"/>
      <c r="E490" s="81"/>
      <c r="F490" s="81"/>
      <c r="G490" s="138"/>
      <c r="H490" s="138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</row>
    <row r="491">
      <c r="A491" s="81"/>
      <c r="B491" s="81"/>
      <c r="C491" s="81"/>
      <c r="D491" s="81"/>
      <c r="E491" s="81"/>
      <c r="F491" s="81"/>
      <c r="G491" s="138"/>
      <c r="H491" s="138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</row>
    <row r="492">
      <c r="A492" s="81"/>
      <c r="B492" s="81"/>
      <c r="C492" s="81"/>
      <c r="D492" s="81"/>
      <c r="E492" s="81"/>
      <c r="F492" s="81"/>
      <c r="G492" s="138"/>
      <c r="H492" s="138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</row>
    <row r="493">
      <c r="A493" s="81"/>
      <c r="B493" s="81"/>
      <c r="C493" s="81"/>
      <c r="D493" s="81"/>
      <c r="E493" s="81"/>
      <c r="F493" s="81"/>
      <c r="G493" s="138"/>
      <c r="H493" s="138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</row>
    <row r="494">
      <c r="A494" s="81"/>
      <c r="B494" s="81"/>
      <c r="C494" s="81"/>
      <c r="D494" s="81"/>
      <c r="E494" s="81"/>
      <c r="F494" s="81"/>
      <c r="G494" s="138"/>
      <c r="H494" s="138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</row>
    <row r="495">
      <c r="A495" s="81"/>
      <c r="B495" s="81"/>
      <c r="C495" s="81"/>
      <c r="D495" s="81"/>
      <c r="E495" s="81"/>
      <c r="F495" s="81"/>
      <c r="G495" s="138"/>
      <c r="H495" s="138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</row>
    <row r="496">
      <c r="A496" s="81"/>
      <c r="B496" s="81"/>
      <c r="C496" s="81"/>
      <c r="D496" s="81"/>
      <c r="E496" s="81"/>
      <c r="F496" s="81"/>
      <c r="G496" s="138"/>
      <c r="H496" s="138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</row>
    <row r="497">
      <c r="A497" s="81"/>
      <c r="B497" s="81"/>
      <c r="C497" s="81"/>
      <c r="D497" s="81"/>
      <c r="E497" s="81"/>
      <c r="F497" s="81"/>
      <c r="G497" s="138"/>
      <c r="H497" s="138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</row>
    <row r="498">
      <c r="A498" s="81"/>
      <c r="B498" s="81"/>
      <c r="C498" s="81"/>
      <c r="D498" s="81"/>
      <c r="E498" s="81"/>
      <c r="F498" s="81"/>
      <c r="G498" s="138"/>
      <c r="H498" s="138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</row>
    <row r="499">
      <c r="A499" s="81"/>
      <c r="B499" s="81"/>
      <c r="C499" s="81"/>
      <c r="D499" s="81"/>
      <c r="E499" s="81"/>
      <c r="F499" s="81"/>
      <c r="G499" s="138"/>
      <c r="H499" s="138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</row>
    <row r="500">
      <c r="A500" s="81"/>
      <c r="B500" s="81"/>
      <c r="C500" s="81"/>
      <c r="D500" s="81"/>
      <c r="E500" s="81"/>
      <c r="F500" s="81"/>
      <c r="G500" s="138"/>
      <c r="H500" s="138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</row>
    <row r="501">
      <c r="A501" s="81"/>
      <c r="B501" s="81"/>
      <c r="C501" s="81"/>
      <c r="D501" s="81"/>
      <c r="E501" s="81"/>
      <c r="F501" s="81"/>
      <c r="G501" s="138"/>
      <c r="H501" s="138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</row>
    <row r="502">
      <c r="A502" s="81"/>
      <c r="B502" s="81"/>
      <c r="C502" s="81"/>
      <c r="D502" s="81"/>
      <c r="E502" s="81"/>
      <c r="F502" s="81"/>
      <c r="G502" s="138"/>
      <c r="H502" s="138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</row>
    <row r="503">
      <c r="A503" s="81"/>
      <c r="B503" s="81"/>
      <c r="C503" s="81"/>
      <c r="D503" s="81"/>
      <c r="E503" s="81"/>
      <c r="F503" s="81"/>
      <c r="G503" s="138"/>
      <c r="H503" s="138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</row>
    <row r="504">
      <c r="A504" s="81"/>
      <c r="B504" s="81"/>
      <c r="C504" s="81"/>
      <c r="D504" s="81"/>
      <c r="E504" s="81"/>
      <c r="F504" s="81"/>
      <c r="G504" s="138"/>
      <c r="H504" s="138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</row>
    <row r="505">
      <c r="A505" s="81"/>
      <c r="B505" s="81"/>
      <c r="C505" s="81"/>
      <c r="D505" s="81"/>
      <c r="E505" s="81"/>
      <c r="F505" s="81"/>
      <c r="G505" s="138"/>
      <c r="H505" s="138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</row>
    <row r="506">
      <c r="A506" s="81"/>
      <c r="B506" s="81"/>
      <c r="C506" s="81"/>
      <c r="D506" s="81"/>
      <c r="E506" s="81"/>
      <c r="F506" s="81"/>
      <c r="G506" s="138"/>
      <c r="H506" s="138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</row>
    <row r="507">
      <c r="A507" s="81"/>
      <c r="B507" s="81"/>
      <c r="C507" s="81"/>
      <c r="D507" s="81"/>
      <c r="E507" s="81"/>
      <c r="F507" s="81"/>
      <c r="G507" s="138"/>
      <c r="H507" s="138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</row>
    <row r="508">
      <c r="A508" s="81"/>
      <c r="B508" s="81"/>
      <c r="C508" s="81"/>
      <c r="D508" s="81"/>
      <c r="E508" s="81"/>
      <c r="F508" s="81"/>
      <c r="G508" s="138"/>
      <c r="H508" s="138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</row>
    <row r="509">
      <c r="A509" s="81"/>
      <c r="B509" s="81"/>
      <c r="C509" s="81"/>
      <c r="D509" s="81"/>
      <c r="E509" s="81"/>
      <c r="F509" s="81"/>
      <c r="G509" s="138"/>
      <c r="H509" s="138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</row>
    <row r="510">
      <c r="A510" s="81"/>
      <c r="B510" s="81"/>
      <c r="C510" s="81"/>
      <c r="D510" s="81"/>
      <c r="E510" s="81"/>
      <c r="F510" s="81"/>
      <c r="G510" s="138"/>
      <c r="H510" s="138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</row>
    <row r="511">
      <c r="A511" s="81"/>
      <c r="B511" s="81"/>
      <c r="C511" s="81"/>
      <c r="D511" s="81"/>
      <c r="E511" s="81"/>
      <c r="F511" s="81"/>
      <c r="G511" s="138"/>
      <c r="H511" s="138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</row>
    <row r="512">
      <c r="A512" s="81"/>
      <c r="B512" s="81"/>
      <c r="C512" s="81"/>
      <c r="D512" s="81"/>
      <c r="E512" s="81"/>
      <c r="F512" s="81"/>
      <c r="G512" s="138"/>
      <c r="H512" s="138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</row>
    <row r="513">
      <c r="A513" s="81"/>
      <c r="B513" s="81"/>
      <c r="C513" s="81"/>
      <c r="D513" s="81"/>
      <c r="E513" s="81"/>
      <c r="F513" s="81"/>
      <c r="G513" s="138"/>
      <c r="H513" s="138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</row>
    <row r="514">
      <c r="A514" s="81"/>
      <c r="B514" s="81"/>
      <c r="C514" s="81"/>
      <c r="D514" s="81"/>
      <c r="E514" s="81"/>
      <c r="F514" s="81"/>
      <c r="G514" s="138"/>
      <c r="H514" s="138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</row>
    <row r="515">
      <c r="A515" s="81"/>
      <c r="B515" s="81"/>
      <c r="C515" s="81"/>
      <c r="D515" s="81"/>
      <c r="E515" s="81"/>
      <c r="F515" s="81"/>
      <c r="G515" s="138"/>
      <c r="H515" s="138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</row>
    <row r="516">
      <c r="A516" s="81"/>
      <c r="B516" s="81"/>
      <c r="C516" s="81"/>
      <c r="D516" s="81"/>
      <c r="E516" s="81"/>
      <c r="F516" s="81"/>
      <c r="G516" s="138"/>
      <c r="H516" s="138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</row>
    <row r="517">
      <c r="A517" s="81"/>
      <c r="B517" s="81"/>
      <c r="C517" s="81"/>
      <c r="D517" s="81"/>
      <c r="E517" s="81"/>
      <c r="F517" s="81"/>
      <c r="G517" s="138"/>
      <c r="H517" s="138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</row>
    <row r="518">
      <c r="A518" s="81"/>
      <c r="B518" s="81"/>
      <c r="C518" s="81"/>
      <c r="D518" s="81"/>
      <c r="E518" s="81"/>
      <c r="F518" s="81"/>
      <c r="G518" s="138"/>
      <c r="H518" s="138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</row>
    <row r="519">
      <c r="A519" s="81"/>
      <c r="B519" s="81"/>
      <c r="C519" s="81"/>
      <c r="D519" s="81"/>
      <c r="E519" s="81"/>
      <c r="F519" s="81"/>
      <c r="G519" s="138"/>
      <c r="H519" s="138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</row>
    <row r="520">
      <c r="A520" s="81"/>
      <c r="B520" s="81"/>
      <c r="C520" s="81"/>
      <c r="D520" s="81"/>
      <c r="E520" s="81"/>
      <c r="F520" s="81"/>
      <c r="G520" s="138"/>
      <c r="H520" s="138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</row>
    <row r="521">
      <c r="A521" s="81"/>
      <c r="B521" s="81"/>
      <c r="C521" s="81"/>
      <c r="D521" s="81"/>
      <c r="E521" s="81"/>
      <c r="F521" s="81"/>
      <c r="G521" s="138"/>
      <c r="H521" s="138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</row>
    <row r="522">
      <c r="A522" s="81"/>
      <c r="B522" s="81"/>
      <c r="C522" s="81"/>
      <c r="D522" s="81"/>
      <c r="E522" s="81"/>
      <c r="F522" s="81"/>
      <c r="G522" s="138"/>
      <c r="H522" s="138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</row>
    <row r="523">
      <c r="A523" s="81"/>
      <c r="B523" s="81"/>
      <c r="C523" s="81"/>
      <c r="D523" s="81"/>
      <c r="E523" s="81"/>
      <c r="F523" s="81"/>
      <c r="G523" s="138"/>
      <c r="H523" s="138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</row>
    <row r="524">
      <c r="A524" s="81"/>
      <c r="B524" s="81"/>
      <c r="C524" s="81"/>
      <c r="D524" s="81"/>
      <c r="E524" s="81"/>
      <c r="F524" s="81"/>
      <c r="G524" s="138"/>
      <c r="H524" s="138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</row>
    <row r="525">
      <c r="A525" s="81"/>
      <c r="B525" s="81"/>
      <c r="C525" s="81"/>
      <c r="D525" s="81"/>
      <c r="E525" s="81"/>
      <c r="F525" s="81"/>
      <c r="G525" s="138"/>
      <c r="H525" s="138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</row>
    <row r="526">
      <c r="A526" s="81"/>
      <c r="B526" s="81"/>
      <c r="C526" s="81"/>
      <c r="D526" s="81"/>
      <c r="E526" s="81"/>
      <c r="F526" s="81"/>
      <c r="G526" s="138"/>
      <c r="H526" s="138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</row>
    <row r="527">
      <c r="A527" s="81"/>
      <c r="B527" s="81"/>
      <c r="C527" s="81"/>
      <c r="D527" s="81"/>
      <c r="E527" s="81"/>
      <c r="F527" s="81"/>
      <c r="G527" s="138"/>
      <c r="H527" s="138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</row>
    <row r="528">
      <c r="A528" s="81"/>
      <c r="B528" s="81"/>
      <c r="C528" s="81"/>
      <c r="D528" s="81"/>
      <c r="E528" s="81"/>
      <c r="F528" s="81"/>
      <c r="G528" s="138"/>
      <c r="H528" s="138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</row>
    <row r="529">
      <c r="A529" s="81"/>
      <c r="B529" s="81"/>
      <c r="C529" s="81"/>
      <c r="D529" s="81"/>
      <c r="E529" s="81"/>
      <c r="F529" s="81"/>
      <c r="G529" s="138"/>
      <c r="H529" s="138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</row>
    <row r="530">
      <c r="A530" s="81"/>
      <c r="B530" s="81"/>
      <c r="C530" s="81"/>
      <c r="D530" s="81"/>
      <c r="E530" s="81"/>
      <c r="F530" s="81"/>
      <c r="G530" s="138"/>
      <c r="H530" s="138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</row>
    <row r="531">
      <c r="A531" s="81"/>
      <c r="B531" s="81"/>
      <c r="C531" s="81"/>
      <c r="D531" s="81"/>
      <c r="E531" s="81"/>
      <c r="F531" s="81"/>
      <c r="G531" s="138"/>
      <c r="H531" s="138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</row>
    <row r="532">
      <c r="A532" s="81"/>
      <c r="B532" s="81"/>
      <c r="C532" s="81"/>
      <c r="D532" s="81"/>
      <c r="E532" s="81"/>
      <c r="F532" s="81"/>
      <c r="G532" s="138"/>
      <c r="H532" s="138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</row>
    <row r="533">
      <c r="A533" s="81"/>
      <c r="B533" s="81"/>
      <c r="C533" s="81"/>
      <c r="D533" s="81"/>
      <c r="E533" s="81"/>
      <c r="F533" s="81"/>
      <c r="G533" s="138"/>
      <c r="H533" s="138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</row>
    <row r="534">
      <c r="A534" s="81"/>
      <c r="B534" s="81"/>
      <c r="C534" s="81"/>
      <c r="D534" s="81"/>
      <c r="E534" s="81"/>
      <c r="F534" s="81"/>
      <c r="G534" s="138"/>
      <c r="H534" s="138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</row>
    <row r="535">
      <c r="A535" s="81"/>
      <c r="B535" s="81"/>
      <c r="C535" s="81"/>
      <c r="D535" s="81"/>
      <c r="E535" s="81"/>
      <c r="F535" s="81"/>
      <c r="G535" s="138"/>
      <c r="H535" s="138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</row>
    <row r="536">
      <c r="A536" s="81"/>
      <c r="B536" s="81"/>
      <c r="C536" s="81"/>
      <c r="D536" s="81"/>
      <c r="E536" s="81"/>
      <c r="F536" s="81"/>
      <c r="G536" s="138"/>
      <c r="H536" s="138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</row>
    <row r="537">
      <c r="A537" s="81"/>
      <c r="B537" s="81"/>
      <c r="C537" s="81"/>
      <c r="D537" s="81"/>
      <c r="E537" s="81"/>
      <c r="F537" s="81"/>
      <c r="G537" s="138"/>
      <c r="H537" s="138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</row>
    <row r="538">
      <c r="A538" s="81"/>
      <c r="B538" s="81"/>
      <c r="C538" s="81"/>
      <c r="D538" s="81"/>
      <c r="E538" s="81"/>
      <c r="F538" s="81"/>
      <c r="G538" s="138"/>
      <c r="H538" s="138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</row>
    <row r="539">
      <c r="A539" s="81"/>
      <c r="B539" s="81"/>
      <c r="C539" s="81"/>
      <c r="D539" s="81"/>
      <c r="E539" s="81"/>
      <c r="F539" s="81"/>
      <c r="G539" s="138"/>
      <c r="H539" s="138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</row>
    <row r="540">
      <c r="A540" s="81"/>
      <c r="B540" s="81"/>
      <c r="C540" s="81"/>
      <c r="D540" s="81"/>
      <c r="E540" s="81"/>
      <c r="F540" s="81"/>
      <c r="G540" s="138"/>
      <c r="H540" s="138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</row>
    <row r="541">
      <c r="A541" s="81"/>
      <c r="B541" s="81"/>
      <c r="C541" s="81"/>
      <c r="D541" s="81"/>
      <c r="E541" s="81"/>
      <c r="F541" s="81"/>
      <c r="G541" s="138"/>
      <c r="H541" s="138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</row>
    <row r="542">
      <c r="A542" s="81"/>
      <c r="B542" s="81"/>
      <c r="C542" s="81"/>
      <c r="D542" s="81"/>
      <c r="E542" s="81"/>
      <c r="F542" s="81"/>
      <c r="G542" s="138"/>
      <c r="H542" s="138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</row>
    <row r="543">
      <c r="A543" s="81"/>
      <c r="B543" s="81"/>
      <c r="C543" s="81"/>
      <c r="D543" s="81"/>
      <c r="E543" s="81"/>
      <c r="F543" s="81"/>
      <c r="G543" s="138"/>
      <c r="H543" s="138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</row>
    <row r="544">
      <c r="A544" s="81"/>
      <c r="B544" s="81"/>
      <c r="C544" s="81"/>
      <c r="D544" s="81"/>
      <c r="E544" s="81"/>
      <c r="F544" s="81"/>
      <c r="G544" s="138"/>
      <c r="H544" s="138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</row>
    <row r="545">
      <c r="A545" s="81"/>
      <c r="B545" s="81"/>
      <c r="C545" s="81"/>
      <c r="D545" s="81"/>
      <c r="E545" s="81"/>
      <c r="F545" s="81"/>
      <c r="G545" s="138"/>
      <c r="H545" s="138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</row>
    <row r="546">
      <c r="A546" s="81"/>
      <c r="B546" s="81"/>
      <c r="C546" s="81"/>
      <c r="D546" s="81"/>
      <c r="E546" s="81"/>
      <c r="F546" s="81"/>
      <c r="G546" s="138"/>
      <c r="H546" s="138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</row>
    <row r="547">
      <c r="A547" s="81"/>
      <c r="B547" s="81"/>
      <c r="C547" s="81"/>
      <c r="D547" s="81"/>
      <c r="E547" s="81"/>
      <c r="F547" s="81"/>
      <c r="G547" s="138"/>
      <c r="H547" s="138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</row>
    <row r="548">
      <c r="A548" s="81"/>
      <c r="B548" s="81"/>
      <c r="C548" s="81"/>
      <c r="D548" s="81"/>
      <c r="E548" s="81"/>
      <c r="F548" s="81"/>
      <c r="G548" s="138"/>
      <c r="H548" s="138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</row>
    <row r="549">
      <c r="A549" s="81"/>
      <c r="B549" s="81"/>
      <c r="C549" s="81"/>
      <c r="D549" s="81"/>
      <c r="E549" s="81"/>
      <c r="F549" s="81"/>
      <c r="G549" s="138"/>
      <c r="H549" s="138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</row>
    <row r="550">
      <c r="A550" s="81"/>
      <c r="B550" s="81"/>
      <c r="C550" s="81"/>
      <c r="D550" s="81"/>
      <c r="E550" s="81"/>
      <c r="F550" s="81"/>
      <c r="G550" s="138"/>
      <c r="H550" s="138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</row>
    <row r="551">
      <c r="A551" s="81"/>
      <c r="B551" s="81"/>
      <c r="C551" s="81"/>
      <c r="D551" s="81"/>
      <c r="E551" s="81"/>
      <c r="F551" s="81"/>
      <c r="G551" s="138"/>
      <c r="H551" s="138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</row>
    <row r="552">
      <c r="A552" s="81"/>
      <c r="B552" s="81"/>
      <c r="C552" s="81"/>
      <c r="D552" s="81"/>
      <c r="E552" s="81"/>
      <c r="F552" s="81"/>
      <c r="G552" s="138"/>
      <c r="H552" s="138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</row>
    <row r="553">
      <c r="A553" s="81"/>
      <c r="B553" s="81"/>
      <c r="C553" s="81"/>
      <c r="D553" s="81"/>
      <c r="E553" s="81"/>
      <c r="F553" s="81"/>
      <c r="G553" s="138"/>
      <c r="H553" s="138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</row>
    <row r="554">
      <c r="A554" s="81"/>
      <c r="B554" s="81"/>
      <c r="C554" s="81"/>
      <c r="D554" s="81"/>
      <c r="E554" s="81"/>
      <c r="F554" s="81"/>
      <c r="G554" s="138"/>
      <c r="H554" s="138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</row>
    <row r="555">
      <c r="A555" s="81"/>
      <c r="B555" s="81"/>
      <c r="C555" s="81"/>
      <c r="D555" s="81"/>
      <c r="E555" s="81"/>
      <c r="F555" s="81"/>
      <c r="G555" s="138"/>
      <c r="H555" s="138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</row>
    <row r="556">
      <c r="A556" s="81"/>
      <c r="B556" s="81"/>
      <c r="C556" s="81"/>
      <c r="D556" s="81"/>
      <c r="E556" s="81"/>
      <c r="F556" s="81"/>
      <c r="G556" s="138"/>
      <c r="H556" s="138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</row>
    <row r="557">
      <c r="A557" s="81"/>
      <c r="B557" s="81"/>
      <c r="C557" s="81"/>
      <c r="D557" s="81"/>
      <c r="E557" s="81"/>
      <c r="F557" s="81"/>
      <c r="G557" s="138"/>
      <c r="H557" s="138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</row>
    <row r="558">
      <c r="A558" s="81"/>
      <c r="B558" s="81"/>
      <c r="C558" s="81"/>
      <c r="D558" s="81"/>
      <c r="E558" s="81"/>
      <c r="F558" s="81"/>
      <c r="G558" s="138"/>
      <c r="H558" s="138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</row>
    <row r="559">
      <c r="A559" s="81"/>
      <c r="B559" s="81"/>
      <c r="C559" s="81"/>
      <c r="D559" s="81"/>
      <c r="E559" s="81"/>
      <c r="F559" s="81"/>
      <c r="G559" s="138"/>
      <c r="H559" s="138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</row>
    <row r="560">
      <c r="A560" s="81"/>
      <c r="B560" s="81"/>
      <c r="C560" s="81"/>
      <c r="D560" s="81"/>
      <c r="E560" s="81"/>
      <c r="F560" s="81"/>
      <c r="G560" s="138"/>
      <c r="H560" s="138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</row>
    <row r="561">
      <c r="A561" s="81"/>
      <c r="B561" s="81"/>
      <c r="C561" s="81"/>
      <c r="D561" s="81"/>
      <c r="E561" s="81"/>
      <c r="F561" s="81"/>
      <c r="G561" s="138"/>
      <c r="H561" s="138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</row>
    <row r="562">
      <c r="A562" s="81"/>
      <c r="B562" s="81"/>
      <c r="C562" s="81"/>
      <c r="D562" s="81"/>
      <c r="E562" s="81"/>
      <c r="F562" s="81"/>
      <c r="G562" s="138"/>
      <c r="H562" s="138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</row>
    <row r="563">
      <c r="A563" s="81"/>
      <c r="B563" s="81"/>
      <c r="C563" s="81"/>
      <c r="D563" s="81"/>
      <c r="E563" s="81"/>
      <c r="F563" s="81"/>
      <c r="G563" s="138"/>
      <c r="H563" s="138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</row>
    <row r="564">
      <c r="A564" s="81"/>
      <c r="B564" s="81"/>
      <c r="C564" s="81"/>
      <c r="D564" s="81"/>
      <c r="E564" s="81"/>
      <c r="F564" s="81"/>
      <c r="G564" s="138"/>
      <c r="H564" s="138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</row>
    <row r="565">
      <c r="A565" s="81"/>
      <c r="B565" s="81"/>
      <c r="C565" s="81"/>
      <c r="D565" s="81"/>
      <c r="E565" s="81"/>
      <c r="F565" s="81"/>
      <c r="G565" s="138"/>
      <c r="H565" s="138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</row>
    <row r="566">
      <c r="A566" s="81"/>
      <c r="B566" s="81"/>
      <c r="C566" s="81"/>
      <c r="D566" s="81"/>
      <c r="E566" s="81"/>
      <c r="F566" s="81"/>
      <c r="G566" s="138"/>
      <c r="H566" s="138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</row>
    <row r="567">
      <c r="A567" s="81"/>
      <c r="B567" s="81"/>
      <c r="C567" s="81"/>
      <c r="D567" s="81"/>
      <c r="E567" s="81"/>
      <c r="F567" s="81"/>
      <c r="G567" s="138"/>
      <c r="H567" s="138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</row>
    <row r="568">
      <c r="A568" s="81"/>
      <c r="B568" s="81"/>
      <c r="C568" s="81"/>
      <c r="D568" s="81"/>
      <c r="E568" s="81"/>
      <c r="F568" s="81"/>
      <c r="G568" s="138"/>
      <c r="H568" s="138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</row>
    <row r="569">
      <c r="A569" s="81"/>
      <c r="B569" s="81"/>
      <c r="C569" s="81"/>
      <c r="D569" s="81"/>
      <c r="E569" s="81"/>
      <c r="F569" s="81"/>
      <c r="G569" s="138"/>
      <c r="H569" s="138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</row>
    <row r="570">
      <c r="A570" s="81"/>
      <c r="B570" s="81"/>
      <c r="C570" s="81"/>
      <c r="D570" s="81"/>
      <c r="E570" s="81"/>
      <c r="F570" s="81"/>
      <c r="G570" s="138"/>
      <c r="H570" s="138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</row>
    <row r="571">
      <c r="A571" s="81"/>
      <c r="B571" s="81"/>
      <c r="C571" s="81"/>
      <c r="D571" s="81"/>
      <c r="E571" s="81"/>
      <c r="F571" s="81"/>
      <c r="G571" s="138"/>
      <c r="H571" s="138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</row>
    <row r="572">
      <c r="A572" s="81"/>
      <c r="B572" s="81"/>
      <c r="C572" s="81"/>
      <c r="D572" s="81"/>
      <c r="E572" s="81"/>
      <c r="F572" s="81"/>
      <c r="G572" s="138"/>
      <c r="H572" s="138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</row>
    <row r="573">
      <c r="A573" s="81"/>
      <c r="B573" s="81"/>
      <c r="C573" s="81"/>
      <c r="D573" s="81"/>
      <c r="E573" s="81"/>
      <c r="F573" s="81"/>
      <c r="G573" s="138"/>
      <c r="H573" s="138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</row>
    <row r="574">
      <c r="A574" s="81"/>
      <c r="B574" s="81"/>
      <c r="C574" s="81"/>
      <c r="D574" s="81"/>
      <c r="E574" s="81"/>
      <c r="F574" s="81"/>
      <c r="G574" s="138"/>
      <c r="H574" s="138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</row>
    <row r="575">
      <c r="A575" s="81"/>
      <c r="B575" s="81"/>
      <c r="C575" s="81"/>
      <c r="D575" s="81"/>
      <c r="E575" s="81"/>
      <c r="F575" s="81"/>
      <c r="G575" s="138"/>
      <c r="H575" s="138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</row>
    <row r="576">
      <c r="A576" s="81"/>
      <c r="B576" s="81"/>
      <c r="C576" s="81"/>
      <c r="D576" s="81"/>
      <c r="E576" s="81"/>
      <c r="F576" s="81"/>
      <c r="G576" s="138"/>
      <c r="H576" s="138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</row>
    <row r="577">
      <c r="A577" s="81"/>
      <c r="B577" s="81"/>
      <c r="C577" s="81"/>
      <c r="D577" s="81"/>
      <c r="E577" s="81"/>
      <c r="F577" s="81"/>
      <c r="G577" s="138"/>
      <c r="H577" s="138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</row>
    <row r="578">
      <c r="A578" s="81"/>
      <c r="B578" s="81"/>
      <c r="C578" s="81"/>
      <c r="D578" s="81"/>
      <c r="E578" s="81"/>
      <c r="F578" s="81"/>
      <c r="G578" s="138"/>
      <c r="H578" s="138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</row>
    <row r="579">
      <c r="A579" s="81"/>
      <c r="B579" s="81"/>
      <c r="C579" s="81"/>
      <c r="D579" s="81"/>
      <c r="E579" s="81"/>
      <c r="F579" s="81"/>
      <c r="G579" s="138"/>
      <c r="H579" s="138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</row>
    <row r="580">
      <c r="A580" s="81"/>
      <c r="B580" s="81"/>
      <c r="C580" s="81"/>
      <c r="D580" s="81"/>
      <c r="E580" s="81"/>
      <c r="F580" s="81"/>
      <c r="G580" s="138"/>
      <c r="H580" s="138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</row>
    <row r="581">
      <c r="A581" s="81"/>
      <c r="B581" s="81"/>
      <c r="C581" s="81"/>
      <c r="D581" s="81"/>
      <c r="E581" s="81"/>
      <c r="F581" s="81"/>
      <c r="G581" s="138"/>
      <c r="H581" s="138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</row>
    <row r="582">
      <c r="A582" s="81"/>
      <c r="B582" s="81"/>
      <c r="C582" s="81"/>
      <c r="D582" s="81"/>
      <c r="E582" s="81"/>
      <c r="F582" s="81"/>
      <c r="G582" s="138"/>
      <c r="H582" s="138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</row>
    <row r="583">
      <c r="A583" s="81"/>
      <c r="B583" s="81"/>
      <c r="C583" s="81"/>
      <c r="D583" s="81"/>
      <c r="E583" s="81"/>
      <c r="F583" s="81"/>
      <c r="G583" s="138"/>
      <c r="H583" s="138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</row>
    <row r="584">
      <c r="A584" s="81"/>
      <c r="B584" s="81"/>
      <c r="C584" s="81"/>
      <c r="D584" s="81"/>
      <c r="E584" s="81"/>
      <c r="F584" s="81"/>
      <c r="G584" s="138"/>
      <c r="H584" s="138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</row>
    <row r="585">
      <c r="A585" s="81"/>
      <c r="B585" s="81"/>
      <c r="C585" s="81"/>
      <c r="D585" s="81"/>
      <c r="E585" s="81"/>
      <c r="F585" s="81"/>
      <c r="G585" s="138"/>
      <c r="H585" s="138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</row>
    <row r="586">
      <c r="A586" s="81"/>
      <c r="B586" s="81"/>
      <c r="C586" s="81"/>
      <c r="D586" s="81"/>
      <c r="E586" s="81"/>
      <c r="F586" s="81"/>
      <c r="G586" s="138"/>
      <c r="H586" s="138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</row>
    <row r="587">
      <c r="A587" s="81"/>
      <c r="B587" s="81"/>
      <c r="C587" s="81"/>
      <c r="D587" s="81"/>
      <c r="E587" s="81"/>
      <c r="F587" s="81"/>
      <c r="G587" s="138"/>
      <c r="H587" s="138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</row>
    <row r="588">
      <c r="A588" s="81"/>
      <c r="B588" s="81"/>
      <c r="C588" s="81"/>
      <c r="D588" s="81"/>
      <c r="E588" s="81"/>
      <c r="F588" s="81"/>
      <c r="G588" s="138"/>
      <c r="H588" s="138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</row>
    <row r="589">
      <c r="A589" s="81"/>
      <c r="B589" s="81"/>
      <c r="C589" s="81"/>
      <c r="D589" s="81"/>
      <c r="E589" s="81"/>
      <c r="F589" s="81"/>
      <c r="G589" s="138"/>
      <c r="H589" s="138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</row>
    <row r="590">
      <c r="A590" s="81"/>
      <c r="B590" s="81"/>
      <c r="C590" s="81"/>
      <c r="D590" s="81"/>
      <c r="E590" s="81"/>
      <c r="F590" s="81"/>
      <c r="G590" s="138"/>
      <c r="H590" s="138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</row>
    <row r="591">
      <c r="A591" s="81"/>
      <c r="B591" s="81"/>
      <c r="C591" s="81"/>
      <c r="D591" s="81"/>
      <c r="E591" s="81"/>
      <c r="F591" s="81"/>
      <c r="G591" s="138"/>
      <c r="H591" s="138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</row>
    <row r="592">
      <c r="A592" s="81"/>
      <c r="B592" s="81"/>
      <c r="C592" s="81"/>
      <c r="D592" s="81"/>
      <c r="E592" s="81"/>
      <c r="F592" s="81"/>
      <c r="G592" s="138"/>
      <c r="H592" s="138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</row>
    <row r="593">
      <c r="A593" s="81"/>
      <c r="B593" s="81"/>
      <c r="C593" s="81"/>
      <c r="D593" s="81"/>
      <c r="E593" s="81"/>
      <c r="F593" s="81"/>
      <c r="G593" s="138"/>
      <c r="H593" s="138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</row>
    <row r="594">
      <c r="A594" s="81"/>
      <c r="B594" s="81"/>
      <c r="C594" s="81"/>
      <c r="D594" s="81"/>
      <c r="E594" s="81"/>
      <c r="F594" s="81"/>
      <c r="G594" s="138"/>
      <c r="H594" s="138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</row>
    <row r="595">
      <c r="A595" s="81"/>
      <c r="B595" s="81"/>
      <c r="C595" s="81"/>
      <c r="D595" s="81"/>
      <c r="E595" s="81"/>
      <c r="F595" s="81"/>
      <c r="G595" s="138"/>
      <c r="H595" s="138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</row>
    <row r="596">
      <c r="A596" s="81"/>
      <c r="B596" s="81"/>
      <c r="C596" s="81"/>
      <c r="D596" s="81"/>
      <c r="E596" s="81"/>
      <c r="F596" s="81"/>
      <c r="G596" s="138"/>
      <c r="H596" s="138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</row>
    <row r="597">
      <c r="A597" s="81"/>
      <c r="B597" s="81"/>
      <c r="C597" s="81"/>
      <c r="D597" s="81"/>
      <c r="E597" s="81"/>
      <c r="F597" s="81"/>
      <c r="G597" s="138"/>
      <c r="H597" s="138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</row>
    <row r="598">
      <c r="A598" s="81"/>
      <c r="B598" s="81"/>
      <c r="C598" s="81"/>
      <c r="D598" s="81"/>
      <c r="E598" s="81"/>
      <c r="F598" s="81"/>
      <c r="G598" s="138"/>
      <c r="H598" s="138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</row>
    <row r="599">
      <c r="A599" s="81"/>
      <c r="B599" s="81"/>
      <c r="C599" s="81"/>
      <c r="D599" s="81"/>
      <c r="E599" s="81"/>
      <c r="F599" s="81"/>
      <c r="G599" s="138"/>
      <c r="H599" s="138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</row>
    <row r="600">
      <c r="A600" s="81"/>
      <c r="B600" s="81"/>
      <c r="C600" s="81"/>
      <c r="D600" s="81"/>
      <c r="E600" s="81"/>
      <c r="F600" s="81"/>
      <c r="G600" s="138"/>
      <c r="H600" s="138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</row>
    <row r="601">
      <c r="A601" s="81"/>
      <c r="B601" s="81"/>
      <c r="C601" s="81"/>
      <c r="D601" s="81"/>
      <c r="E601" s="81"/>
      <c r="F601" s="81"/>
      <c r="G601" s="138"/>
      <c r="H601" s="138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</row>
    <row r="602">
      <c r="A602" s="81"/>
      <c r="B602" s="81"/>
      <c r="C602" s="81"/>
      <c r="D602" s="81"/>
      <c r="E602" s="81"/>
      <c r="F602" s="81"/>
      <c r="G602" s="138"/>
      <c r="H602" s="138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</row>
  </sheetData>
  <conditionalFormatting sqref="A2:F602">
    <cfRule type="expression" dxfId="7" priority="1">
      <formula>$A2 = "Serviços"</formula>
    </cfRule>
  </conditionalFormatting>
  <conditionalFormatting sqref="G2:G602">
    <cfRule type="cellIs" dxfId="8" priority="2" operator="greaterThan">
      <formula>0</formula>
    </cfRule>
  </conditionalFormatting>
  <conditionalFormatting sqref="G2:G602">
    <cfRule type="cellIs" dxfId="9" priority="3" operator="lessThan">
      <formula>0</formula>
    </cfRule>
  </conditionalFormatting>
  <dataValidations>
    <dataValidation type="list" allowBlank="1" sqref="A2:A75">
      <formula1>"Serviços,Aporte CIMMVI"</formula1>
    </dataValidation>
    <dataValidation type="list" allowBlank="1" sqref="E2:E75">
      <formula1>"Pago,Aguardando Aprovação,Em aberto,Aprovado - Aguardando Pagamento,Pagamento Realizado - Aguardando autorização Margarete"</formula1>
    </dataValidation>
    <dataValidation type="custom" allowBlank="1" showDropDown="1" sqref="D2:D75">
      <formula1>OR(NOT(ISERROR(DATEVALUE(D2))), AND(ISNUMBER(D2), LEFT(CELL("format", D2))="D"))</formula1>
    </dataValidation>
    <dataValidation type="list" allowBlank="1" sqref="F2:F75">
      <formula1>"Pix,Boleto,Não consta,Débito automático"</formula1>
    </dataValidation>
    <dataValidation type="custom" allowBlank="1" showDropDown="1" sqref="G2:G75">
      <formula1>AND(ISNUMBER(G2),(NOT(OR(NOT(ISERROR(DATEVALUE(G2))), AND(ISNUMBER(G2), LEFT(CELL("format", G2))="D")))))</formula1>
    </dataValidation>
    <dataValidation allowBlank="1" showDropDown="1" sqref="C2:C75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40.33"/>
    <col customWidth="1" min="2" max="2" width="12.56"/>
    <col customWidth="1" min="3" max="3" width="3.56"/>
    <col customWidth="1" min="4" max="4" width="38.44"/>
  </cols>
  <sheetData>
    <row r="1" ht="22.5" customHeight="1">
      <c r="A1" s="4" t="s">
        <v>1</v>
      </c>
      <c r="B1" s="4" t="s">
        <v>3</v>
      </c>
      <c r="C1" s="8" t="s">
        <v>4</v>
      </c>
      <c r="D1" s="11" t="s">
        <v>8</v>
      </c>
      <c r="E1" s="11" t="s">
        <v>14</v>
      </c>
    </row>
    <row r="2" ht="22.5" customHeight="1">
      <c r="A2" s="19" t="s">
        <v>17</v>
      </c>
      <c r="B2" s="23" t="s">
        <v>20</v>
      </c>
      <c r="C2" s="25"/>
      <c r="D2" s="19" t="s">
        <v>23</v>
      </c>
      <c r="E2" s="23" t="s">
        <v>24</v>
      </c>
    </row>
    <row r="3" ht="22.5" customHeight="1">
      <c r="A3" s="19" t="s">
        <v>26</v>
      </c>
      <c r="B3" s="23" t="s">
        <v>27</v>
      </c>
      <c r="C3" s="25"/>
      <c r="D3" s="19" t="s">
        <v>28</v>
      </c>
      <c r="E3" s="23" t="s">
        <v>29</v>
      </c>
    </row>
    <row r="4" ht="22.5" customHeight="1">
      <c r="A4" s="19" t="s">
        <v>30</v>
      </c>
      <c r="B4" s="23" t="s">
        <v>31</v>
      </c>
      <c r="C4" s="25"/>
      <c r="D4" s="19" t="s">
        <v>32</v>
      </c>
      <c r="E4" s="23" t="s">
        <v>33</v>
      </c>
    </row>
    <row r="5" ht="22.5" customHeight="1">
      <c r="A5" s="19" t="s">
        <v>34</v>
      </c>
      <c r="B5" s="23" t="s">
        <v>20</v>
      </c>
      <c r="C5" s="25"/>
      <c r="D5" s="19" t="s">
        <v>35</v>
      </c>
      <c r="E5" s="23" t="s">
        <v>36</v>
      </c>
    </row>
    <row r="6" ht="22.5" customHeight="1">
      <c r="A6" s="19" t="s">
        <v>37</v>
      </c>
      <c r="B6" s="23" t="s">
        <v>20</v>
      </c>
      <c r="C6" s="25"/>
      <c r="D6" s="19" t="s">
        <v>38</v>
      </c>
      <c r="E6" s="23" t="s">
        <v>39</v>
      </c>
    </row>
    <row r="7" ht="22.5" customHeight="1">
      <c r="A7" s="19" t="s">
        <v>40</v>
      </c>
      <c r="B7" s="23" t="s">
        <v>42</v>
      </c>
      <c r="C7" s="25"/>
      <c r="D7" s="41"/>
      <c r="E7" s="41"/>
    </row>
    <row r="8" ht="22.5" customHeight="1">
      <c r="A8" s="19" t="s">
        <v>44</v>
      </c>
      <c r="B8" s="23" t="s">
        <v>45</v>
      </c>
      <c r="C8" s="25"/>
      <c r="D8" s="41"/>
      <c r="E8" s="41"/>
    </row>
    <row r="9" ht="22.5" customHeight="1">
      <c r="A9" s="19" t="s">
        <v>46</v>
      </c>
      <c r="B9" s="23" t="s">
        <v>47</v>
      </c>
      <c r="C9" s="25"/>
      <c r="D9" s="41"/>
      <c r="E9" s="41"/>
    </row>
    <row r="10" ht="22.5" customHeight="1">
      <c r="A10" s="19" t="s">
        <v>48</v>
      </c>
      <c r="B10" s="23" t="s">
        <v>42</v>
      </c>
      <c r="C10" s="25"/>
      <c r="D10" s="41"/>
      <c r="E10" s="41"/>
    </row>
    <row r="11" ht="22.5" customHeight="1">
      <c r="A11" s="19" t="s">
        <v>49</v>
      </c>
      <c r="B11" s="23" t="s">
        <v>51</v>
      </c>
      <c r="C11" s="25"/>
      <c r="D11" s="41"/>
      <c r="E11" s="41"/>
    </row>
    <row r="12" ht="22.5" customHeight="1">
      <c r="A12" s="19" t="s">
        <v>52</v>
      </c>
      <c r="B12" s="23" t="s">
        <v>53</v>
      </c>
      <c r="C12" s="25"/>
      <c r="D12" s="41"/>
      <c r="E12" s="41"/>
    </row>
    <row r="13" ht="22.5" customHeight="1">
      <c r="A13" s="19" t="s">
        <v>56</v>
      </c>
      <c r="B13" s="23" t="s">
        <v>53</v>
      </c>
      <c r="C13" s="25"/>
      <c r="D13" s="41"/>
      <c r="E13" s="41"/>
    </row>
  </sheetData>
  <drawing r:id="rId1"/>
  <tableParts count="1">
    <tablePart r:id="rId3"/>
  </tableParts>
</worksheet>
</file>