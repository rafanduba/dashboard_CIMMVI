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</sheets>
  <definedNames/>
  <calcPr/>
</workbook>
</file>

<file path=xl/sharedStrings.xml><?xml version="1.0" encoding="utf-8"?>
<sst xmlns="http://schemas.openxmlformats.org/spreadsheetml/2006/main" count="1134" uniqueCount="251">
  <si>
    <t>CATEGORIA</t>
  </si>
  <si>
    <t>DESCRIÇÃO</t>
  </si>
  <si>
    <t>CIMMVI - Rateio Municipal Banco do Brasil - CC 142078-0</t>
  </si>
  <si>
    <t>OBSERVAÇÃO</t>
  </si>
  <si>
    <t>Parc. Atual</t>
  </si>
  <si>
    <t>Parc. Rest</t>
  </si>
  <si>
    <t>Valor ()</t>
  </si>
  <si>
    <t>NF/ Nº doc</t>
  </si>
  <si>
    <t>Coluna 1</t>
  </si>
  <si>
    <t>Parc. Total</t>
  </si>
  <si>
    <t>DATA PAGAMENTO</t>
  </si>
  <si>
    <t>CIMMVI - Licencionamento Caixa - CC 575265726-8</t>
  </si>
  <si>
    <t>SITUAÇÃO</t>
  </si>
  <si>
    <t>Valor () 2</t>
  </si>
  <si>
    <t>FORMA PAGAMENTO</t>
  </si>
  <si>
    <t xml:space="preserve"> Rateio Municipal Perdigão</t>
  </si>
  <si>
    <t>MOVIMENTAÇÃO</t>
  </si>
  <si>
    <t>SALDO ACUMULADO</t>
  </si>
  <si>
    <t>3281,87</t>
  </si>
  <si>
    <t>Serviços</t>
  </si>
  <si>
    <t>Saldo inicial</t>
  </si>
  <si>
    <t>Previsão Licenciamento Lagoa da Prata</t>
  </si>
  <si>
    <t>IPVA - Placa HMG5H64</t>
  </si>
  <si>
    <t>4143,34</t>
  </si>
  <si>
    <t xml:space="preserve"> Rateio Municipal Divinópolis</t>
  </si>
  <si>
    <t>13300,26</t>
  </si>
  <si>
    <t>Previsão Licenciamento Divinópolis</t>
  </si>
  <si>
    <t>Pago</t>
  </si>
  <si>
    <t>14123,00</t>
  </si>
  <si>
    <t>Boleto</t>
  </si>
  <si>
    <t xml:space="preserve"> Rateio Municipal Nova Serrana</t>
  </si>
  <si>
    <t>13127,48</t>
  </si>
  <si>
    <t>Saldo Inicial</t>
  </si>
  <si>
    <t>Previsão Licenciamento Perdigão</t>
  </si>
  <si>
    <t>3163,20</t>
  </si>
  <si>
    <t xml:space="preserve"> Rateio Municipal Igaratinga</t>
  </si>
  <si>
    <t>Previsão Licenciamento Araújos</t>
  </si>
  <si>
    <t>2049,39</t>
  </si>
  <si>
    <t xml:space="preserve"> Rateio Municipal São Gonçalo do Pará</t>
  </si>
  <si>
    <t>Previsão Licenciamento São Gonçalo do Pará</t>
  </si>
  <si>
    <t>2405,81</t>
  </si>
  <si>
    <t xml:space="preserve"> Rateio Municipal Conceição do Pará</t>
  </si>
  <si>
    <t>2461,40</t>
  </si>
  <si>
    <t>IPVA - Placa HMQ5765</t>
  </si>
  <si>
    <t xml:space="preserve"> Rateio Municipal Lagoa da Prata</t>
  </si>
  <si>
    <t>9025,14</t>
  </si>
  <si>
    <t xml:space="preserve"> Rateio Municipal Araújos</t>
  </si>
  <si>
    <t>2842,92</t>
  </si>
  <si>
    <t>Juros e Aplicações</t>
  </si>
  <si>
    <t xml:space="preserve"> Rateio Municipal Pedra do Indaiá</t>
  </si>
  <si>
    <t>Previsão Mernsal Rateio Municipal Carmo da Mata</t>
  </si>
  <si>
    <t>4165,44</t>
  </si>
  <si>
    <t>Algar Internet</t>
  </si>
  <si>
    <t>530183399</t>
  </si>
  <si>
    <t xml:space="preserve"> Rateio Municipal Carmo do Cajuru</t>
  </si>
  <si>
    <t>4922,80</t>
  </si>
  <si>
    <t xml:space="preserve"> Rateio Municipal Itapecerica</t>
  </si>
  <si>
    <t>Rateio Municipal</t>
  </si>
  <si>
    <t>Contabilidade Gisele</t>
  </si>
  <si>
    <t>19</t>
  </si>
  <si>
    <t xml:space="preserve">Rateio Municipal Perdigão </t>
  </si>
  <si>
    <t>Transferir para BB</t>
  </si>
  <si>
    <t>Pix</t>
  </si>
  <si>
    <t>Águia Monitoramento</t>
  </si>
  <si>
    <t>27419</t>
  </si>
  <si>
    <t>Vivo Telefone</t>
  </si>
  <si>
    <t>Perdigão</t>
  </si>
  <si>
    <t>Posto LavaJato LTDA</t>
  </si>
  <si>
    <t>14555</t>
  </si>
  <si>
    <t>Marlindo (Jardinagem)</t>
  </si>
  <si>
    <t>5</t>
  </si>
  <si>
    <t>Memory Projetos</t>
  </si>
  <si>
    <t>Diplapel</t>
  </si>
  <si>
    <t>53818</t>
  </si>
  <si>
    <t>Jovane Teixeira (Manutenção Carro HMG5H64) Parcela 1/3</t>
  </si>
  <si>
    <t>7</t>
  </si>
  <si>
    <t>Kátia (Limpeza)</t>
  </si>
  <si>
    <t>9</t>
  </si>
  <si>
    <t>SG Cortinas</t>
  </si>
  <si>
    <t>479</t>
  </si>
  <si>
    <t>Igaratinga</t>
  </si>
  <si>
    <t>Refrigeração Vento Forte (Geladeira)</t>
  </si>
  <si>
    <t>Viva água</t>
  </si>
  <si>
    <t>6991</t>
  </si>
  <si>
    <t>Jovane Teixeira (Manutenção Carro HMQ5765)</t>
  </si>
  <si>
    <t>Rateio Municipal Igaratinga</t>
  </si>
  <si>
    <t>Divinópolis</t>
  </si>
  <si>
    <t>Netty (N Comunicação)</t>
  </si>
  <si>
    <t>Vivo (setembro)</t>
  </si>
  <si>
    <t>Rateio Municipal Igaratinga Janeiro</t>
  </si>
  <si>
    <t>Eletrica Aliança Comercio</t>
  </si>
  <si>
    <t>1676</t>
  </si>
  <si>
    <t>Singular ID</t>
  </si>
  <si>
    <t>Rateio Municipal São Gonçalo do Pará</t>
  </si>
  <si>
    <t>Contabilidade (Gisele)</t>
  </si>
  <si>
    <t>São Gonçalo do Pará</t>
  </si>
  <si>
    <t>Aguia Serv. Monitoramento</t>
  </si>
  <si>
    <t>Taxas Associativas</t>
  </si>
  <si>
    <t>Rateio Municipal São Gonçalo do Pará (transferência para conta de Rateio Municipal)</t>
  </si>
  <si>
    <t>AMM</t>
  </si>
  <si>
    <t>Posto Lavajato</t>
  </si>
  <si>
    <t xml:space="preserve">Mercado Livre </t>
  </si>
  <si>
    <t>Encargos Trabalhistas</t>
  </si>
  <si>
    <t>INSS</t>
  </si>
  <si>
    <t>Marlindo (jardinagem)</t>
  </si>
  <si>
    <t>FGTS</t>
  </si>
  <si>
    <t>FGTS (Pagamento para a conta de Rateio Municipal)</t>
  </si>
  <si>
    <t>Vivo</t>
  </si>
  <si>
    <t>Jovane Teixeira (Manutenção Carro HMG5H64) Parcela 2/3</t>
  </si>
  <si>
    <t>Topografia</t>
  </si>
  <si>
    <t>Município de Perdigão Contrato de Topografia</t>
  </si>
  <si>
    <t>Reembolso Vinicius Salomão</t>
  </si>
  <si>
    <t>FGTS (Programa de Licenciamento)</t>
  </si>
  <si>
    <t>Kátia (limpeza)</t>
  </si>
  <si>
    <t>10</t>
  </si>
  <si>
    <t>Viva Água</t>
  </si>
  <si>
    <t>Auto Elétrica Dr. Almeida</t>
  </si>
  <si>
    <t>136</t>
  </si>
  <si>
    <t>Folha de Pagamento</t>
  </si>
  <si>
    <t>Fernando Augusto Soares</t>
  </si>
  <si>
    <t>109.100.576-13</t>
  </si>
  <si>
    <t>Eletro Peças Delkar</t>
  </si>
  <si>
    <t xml:space="preserve"> 610</t>
  </si>
  <si>
    <t>Netty (comunicação)</t>
  </si>
  <si>
    <t>Consystem (Yuri)</t>
  </si>
  <si>
    <t xml:space="preserve">Vilma Aparecida Messias </t>
  </si>
  <si>
    <t>033.798.646-09</t>
  </si>
  <si>
    <t>Gisele (contabilidade)</t>
  </si>
  <si>
    <t>Vivo (pagamento final)</t>
  </si>
  <si>
    <t>Eduardo Araujo Frestas</t>
  </si>
  <si>
    <t xml:space="preserve">Aguia Monitoramento </t>
  </si>
  <si>
    <t>241</t>
  </si>
  <si>
    <t xml:space="preserve">Warley França Santa Bárbara </t>
  </si>
  <si>
    <t>Aporte CIMMVI</t>
  </si>
  <si>
    <t>Aporte CIMMVI para AMVI</t>
  </si>
  <si>
    <t>(31)99124-5066</t>
  </si>
  <si>
    <t>Ruan Brandão Raposo Simões</t>
  </si>
  <si>
    <t>Jovane Teixeira (Manutenção Carro HMG5H64) Parcela 3/3</t>
  </si>
  <si>
    <t>Luan Henrique Arantes Pereira</t>
  </si>
  <si>
    <t>Rateio Municipal Lagoa da Prata</t>
  </si>
  <si>
    <t>Posto LavaJato</t>
  </si>
  <si>
    <t>Pedro Bombeiro Hidraulico</t>
  </si>
  <si>
    <t>Felipe Henrique Camargos</t>
  </si>
  <si>
    <t>Rateio Municipal Lagoa da Prata (transferencia para conta de Rateio Municipal)</t>
  </si>
  <si>
    <t>Tranferencia para BB</t>
  </si>
  <si>
    <t>Vinicius Salomão Gontijo Bahia</t>
  </si>
  <si>
    <t>Daniel (Instalação das linhas telefónicas)</t>
  </si>
  <si>
    <t>Rateio Municipal Perdigão</t>
  </si>
  <si>
    <t>Em aberto</t>
  </si>
  <si>
    <t>Nova Serrana</t>
  </si>
  <si>
    <t>Lagoa da Prata</t>
  </si>
  <si>
    <t>Conceição do Pará</t>
  </si>
  <si>
    <t>Pagamento Programa de Tografia Perdigão</t>
  </si>
  <si>
    <t>Devolução</t>
  </si>
  <si>
    <t>Devolução Rateio Municipal Perdigão</t>
  </si>
  <si>
    <t>UOL (pagamento final)</t>
  </si>
  <si>
    <t xml:space="preserve">Memory </t>
  </si>
  <si>
    <t>Rateio (transferência errada)</t>
  </si>
  <si>
    <t>Transferência Rateio Municipal Igarantinga (Caixa p/ BB)</t>
  </si>
  <si>
    <t>Viva Água (mediante solicitação)</t>
  </si>
  <si>
    <t xml:space="preserve"> </t>
  </si>
  <si>
    <t>Transferência Rateio Municipal São Gonçalo do Pará (Caixa p/ BB)</t>
  </si>
  <si>
    <t>Guias de ISS</t>
  </si>
  <si>
    <t>Algar Internet (Atrasado)</t>
  </si>
  <si>
    <t>Aporte financeiro do RATEIO para a AMVI (Junho e Julho)</t>
  </si>
  <si>
    <t>FGTS (Transferência para conta do banco do brasil)</t>
  </si>
  <si>
    <t>Kátia (limpeza) (Atrasado)</t>
  </si>
  <si>
    <t>Marlindo (jardinagem) (Atrasado)</t>
  </si>
  <si>
    <t>Diária</t>
  </si>
  <si>
    <t>Diária Vinicius Salomão (viagem Lavras)</t>
  </si>
  <si>
    <t>Luiz Angelo da Silva (Manutenção Elétrica) (Atrasado)</t>
  </si>
  <si>
    <t>FGTS (Conta de Programa)</t>
  </si>
  <si>
    <t>Posto LavaJato (Atrasado)</t>
  </si>
  <si>
    <t>Licenciamento Ambiental</t>
  </si>
  <si>
    <t>Programa de Licenciamento Ambiental Divinópolis</t>
  </si>
  <si>
    <t>Águia Monitoramento (Atrasado)</t>
  </si>
  <si>
    <t xml:space="preserve">Reembolso Vinícius (Algar Internet) </t>
  </si>
  <si>
    <t>Gisele (contabilidade) (Atrasado)</t>
  </si>
  <si>
    <t>Daniel Quedes Domingos</t>
  </si>
  <si>
    <t>Manutenção das poltronas - Auditório</t>
  </si>
  <si>
    <t>0 7489173655</t>
  </si>
  <si>
    <t>Programa de Licenciamento Ambiental</t>
  </si>
  <si>
    <t>DIPLAPEL</t>
  </si>
  <si>
    <t>Planeta Card</t>
  </si>
  <si>
    <t>Reembolso Daniel Quedes</t>
  </si>
  <si>
    <t>Frete Crachás</t>
  </si>
  <si>
    <t>Contrato de Rateio Municipal Igaratinga</t>
  </si>
  <si>
    <t>Gisele</t>
  </si>
  <si>
    <t>Contrato de Rateio Municipal Lagoa da Prata</t>
  </si>
  <si>
    <t>Programa de Licenciamento Ambiental (Envio para Caixa)</t>
  </si>
  <si>
    <t>Algar</t>
  </si>
  <si>
    <t>Reembolso</t>
  </si>
  <si>
    <t>Reembolso Vinícius Salomão</t>
  </si>
  <si>
    <t>FGTS (Pagamento para a conta do BB)</t>
  </si>
  <si>
    <t>Programa de Licenciamento Ambiental Perdigão</t>
  </si>
  <si>
    <t>ConSystem</t>
  </si>
  <si>
    <t>Contrato de Rateio Municipal Lagoa da Prata (trans. Rateio Municipal)</t>
  </si>
  <si>
    <t xml:space="preserve">Diária Vinícius Salomão </t>
  </si>
  <si>
    <t>DARF PASEP</t>
  </si>
  <si>
    <t>Programa de Licenciamento Ambiental Divinópolis (Transf BB Caixa)</t>
  </si>
  <si>
    <t>DARF PASEP (março)</t>
  </si>
  <si>
    <t>FGTS Programa (pagamento realizado na conta do BB e reembolsado pelo programa de licenciamento ambiental)</t>
  </si>
  <si>
    <t>Memory</t>
  </si>
  <si>
    <t>Diária + KM estimado Fernando</t>
  </si>
  <si>
    <t>Diária Vilma</t>
  </si>
  <si>
    <t>Aporte CIMMVI/AMVI</t>
  </si>
  <si>
    <t>Aporte CIMMVI AMVI</t>
  </si>
  <si>
    <t>Rateio Municipal São Gonçalo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</si>
  <si>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</si>
  <si>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</si>
  <si>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</si>
  <si>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</si>
  <si>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>FGTS (transferência para conta do banco do brasil)</t>
  </si>
  <si>
    <t xml:space="preserve">Felipe Henrique Camargos </t>
  </si>
  <si>
    <t>Transf. Caixa Para BB Rateio Municipals</t>
  </si>
  <si>
    <t xml:space="preserve">Vinicius Salomão Gontijo Bahia </t>
  </si>
  <si>
    <t>Diária Vinícius</t>
  </si>
  <si>
    <t>Rateio Municipal Conceição do Pará</t>
  </si>
  <si>
    <t>Transf Caixa para BB (Rateio Municipal SG Pará e C do Pará)</t>
  </si>
  <si>
    <t>FGTS (Programa de Licenciamento) (transf caixa para bb)</t>
  </si>
  <si>
    <t>Fox Comercio Banner Licenciamento Hospital</t>
  </si>
  <si>
    <t>ConSystem (Yuri)</t>
  </si>
  <si>
    <t xml:space="preserve">Daniel Quedes Domingos- </t>
  </si>
  <si>
    <t xml:space="preserve">Programa de Licenciamento Ambiental Araújos </t>
  </si>
  <si>
    <t>Contrato de Programa Licenciamento Ambiental Divinopolis</t>
  </si>
  <si>
    <t>INSS (transferência para conta do Banco do Brasil)</t>
  </si>
  <si>
    <t>FGTS (transferência para conta do Banco do Brasil)</t>
  </si>
  <si>
    <t>Transf Caixa para BB (Rateio Municipal Lagoa da Prata e Igaratinga)</t>
  </si>
  <si>
    <t>Reembolso Fernando</t>
  </si>
  <si>
    <t>Gente Seguradora SA (Seguro Estágio)</t>
  </si>
  <si>
    <t xml:space="preserve">Keven Daniel de Paula </t>
  </si>
  <si>
    <t>Programa de Licenciamento Ambiental - Perdigão</t>
  </si>
  <si>
    <t>Consystem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</si>
  <si>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</si>
  <si>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</si>
  <si>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</si>
  <si>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</si>
  <si>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INSS (Programa de Licenciamento) (trans Caixa para bb)</t>
  </si>
  <si>
    <t>Reembolso Keven Daniel</t>
  </si>
  <si>
    <t>Rafael Ferreira da Rocha Estágio</t>
  </si>
  <si>
    <t>Nayene Estágio</t>
  </si>
  <si>
    <t>Aporte</t>
  </si>
  <si>
    <t>Aporte para a folha de pagamento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</si>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</sst>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d/mm/yyyy"/>
    <numFmt numFmtId="166" formatCode="[$R$ -416]#,##0.00"/>
  </numFmts>
  <fonts count="22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color rgb="FFFFFFFF"/>
      <name val="Verdana"/>
      <scheme val="minor"/>
    </font>
    <font>
      <color theme="1"/>
      <name val="Roboto"/>
    </font>
    <font>
      <b/>
      <color theme="1"/>
      <name val="Verdana"/>
      <scheme val="minor"/>
    </font>
    <font>
      <color rgb="FF000000"/>
      <name val="Verdana"/>
      <scheme val="minor"/>
    </font>
    <font>
      <color theme="1"/>
      <name val="Arial"/>
    </font>
    <font>
      <b/>
      <sz val="12.0"/>
      <color rgb="FFFFFFFF"/>
      <name val="Verdana"/>
      <scheme val="minor"/>
    </font>
    <font>
      <b/>
      <color rgb="FF000000"/>
      <name val="Verdana"/>
      <scheme val="minor"/>
    </font>
    <font>
      <b/>
      <color rgb="FF000000"/>
      <name val="Arial"/>
    </font>
    <font>
      <b/>
      <color rgb="FF000000"/>
      <name val="Roboto"/>
    </font>
    <font>
      <color rgb="FF000000"/>
      <name val="Arial"/>
    </font>
    <font>
      <color rgb="FF434343"/>
      <name val="Roboto"/>
    </font>
    <font>
      <b/>
      <color theme="1"/>
      <name val="Roboto"/>
    </font>
    <font>
      <color rgb="FF434343"/>
      <name val="Arial"/>
    </font>
    <font>
      <color rgb="FF666666"/>
      <name val="Verdana"/>
      <scheme val="minor"/>
    </font>
    <font>
      <sz val="11.0"/>
      <color rgb="FF434343"/>
      <name val="Calibri"/>
    </font>
    <font>
      <b/>
      <color theme="1"/>
      <name val="Arial"/>
    </font>
    <font>
      <color rgb="FF000000"/>
      <name val="Roboto"/>
    </font>
    <font>
      <b/>
      <sz val="10.0"/>
      <color rgb="FF000000"/>
      <name val="Arial"/>
    </font>
    <font>
      <sz val="12.0"/>
      <color theme="1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0B8043"/>
        <bgColor rgb="FF0B8043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6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0" fontId="2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2" fillId="2" fontId="4" numFmtId="0" xfId="0" applyAlignment="1" applyBorder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3" fontId="1" numFmtId="0" xfId="0" applyAlignment="1" applyFill="1" applyFon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0" fillId="0" fontId="5" numFmtId="165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0" fillId="3" fontId="3" numFmtId="166" xfId="0" applyAlignment="1" applyFont="1" applyNumberFormat="1">
      <alignment horizontal="left" readingOrder="0" shrinkToFit="0" vertical="center" wrapText="0"/>
    </xf>
    <xf borderId="0" fillId="4" fontId="6" numFmtId="0" xfId="0" applyAlignment="1" applyFill="1" applyFont="1">
      <alignment readingOrder="0" shrinkToFit="0" vertical="center" wrapText="0"/>
    </xf>
    <xf borderId="0" fillId="0" fontId="5" numFmtId="49" xfId="0" applyAlignment="1" applyFont="1" applyNumberForma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2" fontId="7" numFmtId="0" xfId="0" applyAlignment="1" applyFont="1">
      <alignment vertical="bottom"/>
    </xf>
    <xf borderId="0" fillId="4" fontId="6" numFmtId="49" xfId="0" applyAlignment="1" applyFont="1" applyNumberFormat="1">
      <alignment readingOrder="0" shrinkToFit="0" vertical="center" wrapText="0"/>
    </xf>
    <xf borderId="1" fillId="0" fontId="8" numFmtId="166" xfId="0" applyAlignment="1" applyBorder="1" applyFont="1" applyNumberFormat="1">
      <alignment horizontal="left"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2" fontId="6" numFmtId="0" xfId="0" applyAlignment="1" applyFont="1">
      <alignment readingOrder="0" shrinkToFit="0" vertical="center" wrapText="0"/>
    </xf>
    <xf borderId="1" fillId="5" fontId="9" numFmtId="0" xfId="0" applyAlignment="1" applyBorder="1" applyFill="1" applyFont="1">
      <alignment readingOrder="0" shrinkToFit="0" vertical="center" wrapText="0"/>
    </xf>
    <xf borderId="2" fillId="2" fontId="4" numFmtId="0" xfId="0" applyAlignment="1" applyBorder="1" applyFont="1">
      <alignment shrinkToFit="0" vertical="center" wrapText="0"/>
    </xf>
    <xf borderId="1" fillId="5" fontId="9" numFmtId="0" xfId="0" applyAlignment="1" applyBorder="1" applyFont="1">
      <alignment readingOrder="0" shrinkToFit="0" vertical="center" wrapText="0"/>
    </xf>
    <xf borderId="0" fillId="2" fontId="6" numFmtId="49" xfId="0" applyAlignment="1" applyFont="1" applyNumberFormat="1">
      <alignment readingOrder="0" shrinkToFit="0" vertical="center" wrapText="0"/>
    </xf>
    <xf borderId="1" fillId="5" fontId="10" numFmtId="0" xfId="0" applyAlignment="1" applyBorder="1" applyFont="1">
      <alignment horizontal="center" shrinkToFit="0" vertical="bottom" wrapText="0"/>
    </xf>
    <xf borderId="3" fillId="2" fontId="4" numFmtId="165" xfId="0" applyAlignment="1" applyBorder="1" applyFont="1" applyNumberFormat="1">
      <alignment horizontal="right" shrinkToFit="0" vertical="center" wrapText="0"/>
    </xf>
    <xf borderId="1" fillId="5" fontId="9" numFmtId="0" xfId="0" applyAlignment="1" applyBorder="1" applyFont="1">
      <alignment horizontal="center" readingOrder="0" shrinkToFit="0" vertical="center" wrapText="0"/>
    </xf>
    <xf borderId="1" fillId="2" fontId="6" numFmtId="0" xfId="0" applyAlignment="1" applyBorder="1" applyFont="1">
      <alignment readingOrder="0" shrinkToFit="0" vertical="center" wrapText="0"/>
    </xf>
    <xf borderId="0" fillId="2" fontId="6" numFmtId="166" xfId="0" applyAlignment="1" applyFont="1" applyNumberFormat="1">
      <alignment readingOrder="0" shrinkToFit="0" vertical="center" wrapText="0"/>
    </xf>
    <xf borderId="1" fillId="5" fontId="9" numFmtId="0" xfId="0" applyAlignment="1" applyBorder="1" applyFont="1">
      <alignment horizontal="center" readingOrder="0" shrinkToFit="0" vertical="center" wrapText="0"/>
    </xf>
    <xf borderId="1" fillId="6" fontId="11" numFmtId="165" xfId="0" applyAlignment="1" applyBorder="1" applyFill="1" applyFont="1" applyNumberFormat="1">
      <alignment shrinkToFit="0" vertical="center" wrapText="0"/>
    </xf>
    <xf borderId="1" fillId="5" fontId="9" numFmtId="164" xfId="0" applyAlignment="1" applyBorder="1" applyFont="1" applyNumberFormat="1">
      <alignment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0" fillId="2" fontId="9" numFmtId="166" xfId="0" applyAlignment="1" applyFont="1" applyNumberForma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2" fontId="6" numFmtId="165" xfId="0" applyAlignment="1" applyBorder="1" applyFont="1" applyNumberFormat="1">
      <alignment readingOrder="0" shrinkToFit="0" vertical="center" wrapText="0"/>
    </xf>
    <xf borderId="0" fillId="2" fontId="12" numFmtId="0" xfId="0" applyAlignment="1" applyFont="1">
      <alignment vertical="bottom"/>
    </xf>
    <xf borderId="1" fillId="5" fontId="5" numFmtId="166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1" fillId="2" fontId="1" numFmtId="166" xfId="0" applyAlignment="1" applyBorder="1" applyFont="1" applyNumberFormat="1">
      <alignment readingOrder="0" shrinkToFit="0" vertical="center" wrapText="0"/>
    </xf>
    <xf borderId="1" fillId="7" fontId="3" numFmtId="166" xfId="0" applyAlignment="1" applyBorder="1" applyFill="1" applyFont="1" applyNumberFormat="1">
      <alignment readingOrder="0" shrinkToFit="0" vertical="center" wrapText="0"/>
    </xf>
    <xf borderId="0" fillId="4" fontId="1" numFmtId="0" xfId="0" applyAlignment="1" applyFont="1">
      <alignment shrinkToFit="0" vertical="center" wrapText="0"/>
    </xf>
    <xf borderId="3" fillId="2" fontId="4" numFmtId="166" xfId="0" applyAlignment="1" applyBorder="1" applyFont="1" applyNumberFormat="1">
      <alignment readingOrder="0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5" fontId="9" numFmtId="165" xfId="0" applyAlignment="1" applyBorder="1" applyFont="1" applyNumberFormat="1">
      <alignment horizontal="center" readingOrder="0" shrinkToFit="0" vertical="center" wrapText="0"/>
    </xf>
    <xf borderId="1" fillId="7" fontId="3" numFmtId="166" xfId="0" applyAlignment="1" applyBorder="1" applyFont="1" applyNumberFormat="1">
      <alignment shrinkToFit="0" vertical="center" wrapText="0"/>
    </xf>
    <xf borderId="1" fillId="8" fontId="6" numFmtId="0" xfId="0" applyAlignment="1" applyBorder="1" applyFill="1" applyFont="1">
      <alignment readingOrder="0" shrinkToFit="0" vertical="center" wrapText="0"/>
    </xf>
    <xf borderId="1" fillId="9" fontId="11" numFmtId="0" xfId="0" applyAlignment="1" applyBorder="1" applyFill="1" applyFont="1">
      <alignment readingOrder="0" shrinkToFit="0" vertical="center" wrapText="0"/>
    </xf>
    <xf borderId="1" fillId="8" fontId="6" numFmtId="0" xfId="0" applyAlignment="1" applyBorder="1" applyFont="1">
      <alignment readingOrder="0" shrinkToFit="0" vertical="center" wrapText="0"/>
    </xf>
    <xf borderId="1" fillId="8" fontId="6" numFmtId="165" xfId="0" applyAlignment="1" applyBorder="1" applyFont="1" applyNumberFormat="1">
      <alignment readingOrder="0" shrinkToFit="0" vertical="center" wrapText="0"/>
    </xf>
    <xf borderId="1" fillId="10" fontId="11" numFmtId="0" xfId="0" applyAlignment="1" applyBorder="1" applyFill="1" applyFont="1">
      <alignment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5" fontId="10" numFmtId="0" xfId="0" applyAlignment="1" applyBorder="1" applyFont="1">
      <alignment horizontal="center" readingOrder="0" shrinkToFit="0" vertical="bottom" wrapText="0"/>
    </xf>
    <xf borderId="1" fillId="9" fontId="11" numFmtId="165" xfId="0" applyAlignment="1" applyBorder="1" applyFont="1" applyNumberFormat="1">
      <alignment shrinkToFit="0" vertical="center" wrapText="0"/>
    </xf>
    <xf borderId="1" fillId="5" fontId="10" numFmtId="0" xfId="0" applyAlignment="1" applyBorder="1" applyFont="1">
      <alignment readingOrder="0" shrinkToFit="0" vertical="bottom" wrapText="0"/>
    </xf>
    <xf borderId="1" fillId="5" fontId="10" numFmtId="0" xfId="0" applyAlignment="1" applyBorder="1" applyFont="1">
      <alignment readingOrder="0" shrinkToFit="0" vertical="bottom" wrapText="0"/>
    </xf>
    <xf borderId="1" fillId="5" fontId="10" numFmtId="165" xfId="0" applyAlignment="1" applyBorder="1" applyFont="1" applyNumberFormat="1">
      <alignment horizontal="center" readingOrder="0" shrinkToFit="0" vertical="bottom" wrapText="0"/>
    </xf>
    <xf borderId="1" fillId="5" fontId="10" numFmtId="0" xfId="0" applyAlignment="1" applyBorder="1" applyFont="1">
      <alignment horizontal="center" readingOrder="0" shrinkToFit="0" vertical="bottom" wrapText="0"/>
    </xf>
    <xf borderId="0" fillId="2" fontId="6" numFmtId="49" xfId="0" applyAlignment="1" applyFont="1" applyNumberFormat="1">
      <alignment shrinkToFit="0" vertical="center" wrapText="0"/>
    </xf>
    <xf borderId="0" fillId="0" fontId="12" numFmtId="0" xfId="0" applyAlignment="1" applyFont="1">
      <alignment vertical="bottom"/>
    </xf>
    <xf borderId="2" fillId="8" fontId="4" numFmtId="0" xfId="0" applyAlignment="1" applyBorder="1" applyFon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3" fillId="8" fontId="4" numFmtId="165" xfId="0" applyAlignment="1" applyBorder="1" applyFont="1" applyNumberFormat="1">
      <alignment horizontal="right" shrinkToFit="0" vertical="center" wrapText="0"/>
    </xf>
    <xf borderId="0" fillId="8" fontId="6" numFmtId="0" xfId="0" applyAlignment="1" applyFont="1">
      <alignment readingOrder="0" shrinkToFit="0" vertical="center" wrapText="0"/>
    </xf>
    <xf borderId="3" fillId="8" fontId="4" numFmtId="166" xfId="0" applyAlignment="1" applyBorder="1" applyFont="1" applyNumberFormat="1">
      <alignment readingOrder="0" shrinkToFit="0" vertical="center" wrapText="0"/>
    </xf>
    <xf borderId="1" fillId="8" fontId="6" numFmtId="0" xfId="0" applyAlignment="1" applyBorder="1" applyFont="1">
      <alignment shrinkToFit="0" vertical="center" wrapText="0"/>
    </xf>
    <xf borderId="2" fillId="2" fontId="13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center" wrapText="0"/>
    </xf>
    <xf borderId="3" fillId="2" fontId="13" numFmtId="165" xfId="0" applyAlignment="1" applyBorder="1" applyFont="1" applyNumberFormat="1">
      <alignment horizontal="right" shrinkToFit="0" vertical="center" wrapText="0"/>
    </xf>
    <xf borderId="0" fillId="2" fontId="1" numFmtId="0" xfId="0" applyAlignment="1" applyFont="1">
      <alignment readingOrder="0" shrinkToFit="0" vertical="center" wrapText="0"/>
    </xf>
    <xf borderId="3" fillId="2" fontId="13" numFmtId="166" xfId="0" applyAlignment="1" applyBorder="1" applyFont="1" applyNumberFormat="1">
      <alignment readingOrder="0" shrinkToFit="0" vertical="center" wrapText="0"/>
    </xf>
    <xf borderId="0" fillId="0" fontId="7" numFmtId="0" xfId="0" applyAlignment="1" applyFont="1">
      <alignment vertical="bottom"/>
    </xf>
    <xf borderId="0" fillId="8" fontId="6" numFmtId="49" xfId="0" applyAlignment="1" applyFont="1" applyNumberFormat="1">
      <alignment readingOrder="0" shrinkToFit="0" vertical="center" wrapText="0"/>
    </xf>
    <xf borderId="0" fillId="0" fontId="6" numFmtId="0" xfId="0" applyFont="1"/>
    <xf borderId="0" fillId="2" fontId="1" numFmtId="0" xfId="0" applyAlignment="1" applyFont="1">
      <alignment shrinkToFit="0" vertical="center" wrapText="0"/>
    </xf>
    <xf borderId="1" fillId="2" fontId="6" numFmtId="0" xfId="0" applyAlignment="1" applyBorder="1" applyFont="1">
      <alignment shrinkToFit="0" vertical="center" wrapText="0"/>
    </xf>
    <xf borderId="1" fillId="10" fontId="11" numFmtId="165" xfId="0" applyAlignment="1" applyBorder="1" applyFont="1" applyNumberFormat="1">
      <alignment shrinkToFit="0" vertical="center" wrapText="0"/>
    </xf>
    <xf borderId="2" fillId="8" fontId="13" numFmtId="0" xfId="0" applyAlignment="1" applyBorder="1" applyFont="1">
      <alignment shrinkToFit="0" vertical="center" wrapText="0"/>
    </xf>
    <xf borderId="0" fillId="8" fontId="1" numFmtId="49" xfId="0" applyAlignment="1" applyFont="1" applyNumberFormat="1">
      <alignment readingOrder="0" shrinkToFit="0" vertical="center" wrapText="0"/>
    </xf>
    <xf borderId="3" fillId="8" fontId="13" numFmtId="165" xfId="0" applyAlignment="1" applyBorder="1" applyFont="1" applyNumberFormat="1">
      <alignment horizontal="right" shrinkToFit="0" vertical="center" wrapText="0"/>
    </xf>
    <xf borderId="0" fillId="8" fontId="1" numFmtId="0" xfId="0" applyAlignment="1" applyFont="1">
      <alignment readingOrder="0" shrinkToFit="0" vertical="center" wrapText="0"/>
    </xf>
    <xf borderId="3" fillId="8" fontId="13" numFmtId="166" xfId="0" applyAlignment="1" applyBorder="1" applyFont="1" applyNumberForma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8" fontId="1" numFmtId="0" xfId="0" applyAlignment="1" applyFont="1">
      <alignment shrinkToFit="0" vertical="center" wrapText="0"/>
    </xf>
    <xf borderId="1" fillId="2" fontId="12" numFmtId="0" xfId="0" applyAlignment="1" applyBorder="1" applyFont="1">
      <alignment readingOrder="0" shrinkToFit="0" vertical="bottom" wrapText="0"/>
    </xf>
    <xf borderId="1" fillId="10" fontId="10" numFmtId="0" xfId="0" applyAlignment="1" applyBorder="1" applyFont="1">
      <alignment readingOrder="0" shrinkToFit="0" vertical="bottom" wrapText="0"/>
    </xf>
    <xf borderId="1" fillId="2" fontId="7" numFmtId="0" xfId="0" applyAlignment="1" applyBorder="1" applyFont="1">
      <alignment horizontal="left" shrinkToFit="0" vertical="bottom" wrapText="0"/>
    </xf>
    <xf borderId="0" fillId="2" fontId="1" numFmtId="49" xfId="0" applyAlignment="1" applyFont="1" applyNumberFormat="1">
      <alignment readingOrder="0" shrinkToFit="0" vertical="center" wrapText="0"/>
    </xf>
    <xf borderId="1" fillId="10" fontId="10" numFmtId="165" xfId="0" applyAlignment="1" applyBorder="1" applyFont="1" applyNumberFormat="1">
      <alignment shrinkToFit="0" vertical="bottom" wrapText="0"/>
    </xf>
    <xf borderId="0" fillId="2" fontId="1" numFmtId="0" xfId="0" applyAlignment="1" applyFont="1">
      <alignment readingOrder="0"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2" fillId="8" fontId="14" numFmtId="0" xfId="0" applyAlignment="1" applyBorder="1" applyFont="1">
      <alignment shrinkToFit="0" vertical="center" wrapText="0"/>
    </xf>
    <xf borderId="0" fillId="8" fontId="9" numFmtId="49" xfId="0" applyAlignment="1" applyFont="1" applyNumberFormat="1">
      <alignment shrinkToFit="0" vertical="center" wrapText="0"/>
    </xf>
    <xf borderId="1" fillId="2" fontId="15" numFmtId="0" xfId="0" applyAlignment="1" applyBorder="1" applyFont="1">
      <alignment horizontal="left" shrinkToFit="0" vertical="bottom" wrapText="0"/>
    </xf>
    <xf borderId="3" fillId="8" fontId="14" numFmtId="165" xfId="0" applyAlignment="1" applyBorder="1" applyFont="1" applyNumberFormat="1">
      <alignment horizontal="right" shrinkToFit="0" vertical="center" wrapText="0"/>
    </xf>
    <xf borderId="0" fillId="2" fontId="9" numFmtId="0" xfId="0" applyAlignment="1" applyFont="1">
      <alignment shrinkToFit="0" vertical="center" wrapText="0"/>
    </xf>
    <xf borderId="3" fillId="8" fontId="14" numFmtId="166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vertical="bottom"/>
    </xf>
    <xf borderId="0" fillId="0" fontId="9" numFmtId="0" xfId="0" applyFont="1"/>
    <xf borderId="1" fillId="2" fontId="16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1" fillId="8" fontId="1" numFmtId="165" xfId="0" applyAlignment="1" applyBorder="1" applyFont="1" applyNumberFormat="1">
      <alignment readingOrder="0" shrinkToFit="0" vertical="center" wrapText="0"/>
    </xf>
    <xf borderId="1" fillId="8" fontId="16" numFmtId="165" xfId="0" applyAlignment="1" applyBorder="1" applyFont="1" applyNumberForma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2" fontId="9" numFmtId="0" xfId="0" applyAlignment="1" applyFont="1">
      <alignment readingOrder="0" shrinkToFit="0" vertical="center" wrapText="0"/>
    </xf>
    <xf borderId="1" fillId="2" fontId="1" numFmtId="165" xfId="0" applyAlignment="1" applyBorder="1" applyFont="1" applyNumberFormat="1">
      <alignment readingOrder="0" shrinkToFit="0" vertical="center" wrapText="0"/>
    </xf>
    <xf borderId="3" fillId="2" fontId="13" numFmtId="49" xfId="0" applyAlignment="1" applyBorder="1" applyFont="1" applyNumberFormat="1">
      <alignment shrinkToFit="0" vertical="center" wrapText="0"/>
    </xf>
    <xf borderId="3" fillId="2" fontId="7" numFmtId="0" xfId="0" applyAlignment="1" applyBorder="1" applyFont="1">
      <alignment shrinkToFit="0" vertical="center" wrapText="0"/>
    </xf>
    <xf borderId="3" fillId="2" fontId="15" numFmtId="166" xfId="0" applyAlignment="1" applyBorder="1" applyFont="1" applyNumberFormat="1">
      <alignment readingOrder="0" shrinkToFit="0" vertical="center" wrapText="0"/>
    </xf>
    <xf borderId="0" fillId="2" fontId="1" numFmtId="0" xfId="0" applyFont="1"/>
    <xf borderId="1" fillId="0" fontId="9" numFmtId="0" xfId="0" applyAlignment="1" applyBorder="1" applyFont="1">
      <alignment readingOrder="0" shrinkToFit="0" vertical="center" wrapText="0"/>
    </xf>
    <xf borderId="3" fillId="8" fontId="17" numFmtId="165" xfId="0" applyAlignment="1" applyBorder="1" applyFont="1" applyNumberFormat="1">
      <alignment horizontal="right" shrinkToFit="0" vertical="center" wrapText="0"/>
    </xf>
    <xf borderId="3" fillId="2" fontId="17" numFmtId="165" xfId="0" applyAlignment="1" applyBorder="1" applyFont="1" applyNumberFormat="1">
      <alignment horizontal="right" shrinkToFit="0" vertical="center" wrapText="0"/>
    </xf>
    <xf borderId="2" fillId="2" fontId="7" numFmtId="0" xfId="0" applyAlignment="1" applyBorder="1" applyFont="1">
      <alignment shrinkToFit="0" vertical="center" wrapText="0"/>
    </xf>
    <xf borderId="3" fillId="2" fontId="7" numFmtId="165" xfId="0" applyAlignment="1" applyBorder="1" applyFont="1" applyNumberFormat="1">
      <alignment shrinkToFit="0" vertical="center" wrapText="0"/>
    </xf>
    <xf borderId="0" fillId="2" fontId="6" numFmtId="0" xfId="0" applyAlignment="1" applyFon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1" fillId="8" fontId="1" numFmtId="0" xfId="0" applyAlignment="1" applyBorder="1" applyFont="1">
      <alignment shrinkToFit="0" vertical="center" wrapText="0"/>
    </xf>
    <xf borderId="1" fillId="2" fontId="1" numFmtId="0" xfId="0" applyAlignment="1" applyBorder="1" applyFont="1">
      <alignment horizontal="left" readingOrder="0" shrinkToFit="0" vertical="center" wrapText="0"/>
    </xf>
    <xf borderId="3" fillId="8" fontId="13" numFmtId="165" xfId="0" applyAlignment="1" applyBorder="1" applyFont="1" applyNumberFormat="1">
      <alignment horizontal="right" readingOrder="0" shrinkToFit="0" vertical="center" wrapText="0"/>
    </xf>
    <xf borderId="4" fillId="8" fontId="13" numFmtId="0" xfId="0" applyAlignment="1" applyBorder="1" applyFont="1">
      <alignment shrinkToFit="0" vertical="center" wrapText="0"/>
    </xf>
    <xf borderId="5" fillId="8" fontId="13" numFmtId="165" xfId="0" applyAlignment="1" applyBorder="1" applyFont="1" applyNumberFormat="1">
      <alignment horizontal="right" readingOrder="0" shrinkToFit="0" vertical="center" wrapText="0"/>
    </xf>
    <xf borderId="5" fillId="8" fontId="13" numFmtId="166" xfId="0" applyAlignment="1" applyBorder="1" applyFont="1" applyNumberFormat="1">
      <alignment readingOrder="0" shrinkToFit="0" vertical="center" wrapText="0"/>
    </xf>
    <xf borderId="0" fillId="8" fontId="13" numFmtId="0" xfId="0" applyAlignment="1" applyFont="1">
      <alignment readingOrder="0" shrinkToFit="0" vertical="center" wrapText="0"/>
    </xf>
    <xf borderId="0" fillId="8" fontId="13" numFmtId="165" xfId="0" applyAlignment="1" applyFont="1" applyNumberFormat="1">
      <alignment horizontal="right" readingOrder="0" shrinkToFit="0" vertical="center" wrapText="0"/>
    </xf>
    <xf borderId="0" fillId="8" fontId="13" numFmtId="166" xfId="0" applyAlignment="1" applyFont="1" applyNumberFormat="1">
      <alignment readingOrder="0" shrinkToFit="0" vertical="center" wrapText="0"/>
    </xf>
    <xf borderId="0" fillId="0" fontId="18" numFmtId="166" xfId="0" applyAlignment="1" applyFont="1" applyNumberFormat="1">
      <alignment vertical="bottom"/>
    </xf>
    <xf borderId="1" fillId="8" fontId="6" numFmtId="0" xfId="0" applyAlignment="1" applyBorder="1" applyFont="1">
      <alignment readingOrder="0" shrinkToFit="0" vertical="center" wrapText="0"/>
    </xf>
    <xf borderId="1" fillId="2" fontId="6" numFmtId="0" xfId="0" applyAlignment="1" applyBorder="1" applyFont="1">
      <alignment readingOrder="0" shrinkToFit="0" vertical="center" wrapText="0"/>
    </xf>
    <xf borderId="1" fillId="8" fontId="7" numFmtId="0" xfId="0" applyAlignment="1" applyBorder="1" applyFont="1">
      <alignment shrinkToFit="0" vertical="bottom" wrapText="0"/>
    </xf>
    <xf borderId="1" fillId="2" fontId="7" numFmtId="0" xfId="0" applyAlignment="1" applyBorder="1" applyFont="1">
      <alignment shrinkToFit="0" vertical="bottom" wrapText="0"/>
    </xf>
    <xf borderId="1" fillId="8" fontId="19" numFmtId="165" xfId="0" applyAlignment="1" applyBorder="1" applyFont="1" applyNumberFormat="1">
      <alignment shrinkToFit="0" vertical="center" wrapText="0"/>
    </xf>
    <xf borderId="1" fillId="8" fontId="12" numFmtId="0" xfId="0" applyAlignment="1" applyBorder="1" applyFont="1">
      <alignment readingOrder="0" shrinkToFit="0" vertical="bottom" wrapText="0"/>
    </xf>
    <xf borderId="1" fillId="8" fontId="5" numFmtId="0" xfId="0" applyAlignment="1" applyBorder="1" applyFont="1">
      <alignment readingOrder="0" shrinkToFit="0" vertical="center" wrapText="0"/>
    </xf>
    <xf borderId="1" fillId="2" fontId="19" numFmtId="165" xfId="0" applyAlignment="1" applyBorder="1" applyFont="1" applyNumberForma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5" fontId="20" numFmtId="0" xfId="0" applyAlignment="1" applyBorder="1" applyFont="1">
      <alignment readingOrder="0" shrinkToFit="0" vertical="center" wrapText="0"/>
    </xf>
    <xf borderId="1" fillId="5" fontId="20" numFmtId="165" xfId="0" applyAlignment="1" applyBorder="1" applyFont="1" applyNumberFormat="1">
      <alignment horizontal="center" readingOrder="0" shrinkToFit="0" vertical="center" wrapText="0"/>
    </xf>
    <xf borderId="1" fillId="5" fontId="20" numFmtId="0" xfId="0" applyAlignment="1" applyBorder="1" applyFont="1">
      <alignment horizontal="center" readingOrder="0" shrinkToFit="0" vertical="center" wrapText="0"/>
    </xf>
    <xf borderId="0" fillId="8" fontId="5" numFmtId="0" xfId="0" applyAlignment="1" applyFont="1">
      <alignment readingOrder="0" shrinkToFit="0" vertical="center" wrapText="0"/>
    </xf>
    <xf borderId="1" fillId="5" fontId="11" numFmtId="0" xfId="0" applyAlignment="1" applyBorder="1" applyFont="1">
      <alignment readingOrder="0" shrinkToFit="0" vertical="center" wrapText="0"/>
    </xf>
    <xf borderId="1" fillId="5" fontId="11" numFmtId="0" xfId="0" applyAlignment="1" applyBorder="1" applyFont="1">
      <alignment shrinkToFit="0" vertical="center" wrapText="0"/>
    </xf>
    <xf borderId="1" fillId="5" fontId="11" numFmtId="165" xfId="0" applyAlignment="1" applyBorder="1" applyFont="1" applyNumberFormat="1">
      <alignment horizontal="center" shrinkToFit="0" vertical="center" wrapText="0"/>
    </xf>
    <xf borderId="0" fillId="2" fontId="5" numFmtId="0" xfId="0" applyAlignment="1" applyFont="1">
      <alignment readingOrder="0" shrinkToFit="0" vertical="center" wrapText="0"/>
    </xf>
    <xf borderId="1" fillId="5" fontId="11" numFmtId="0" xfId="0" applyAlignment="1" applyBorder="1" applyFont="1">
      <alignment horizontal="center" shrinkToFit="0" vertical="center" wrapText="0"/>
    </xf>
    <xf borderId="1" fillId="5" fontId="11" numFmtId="164" xfId="0" applyAlignment="1" applyBorder="1" applyFont="1" applyNumberFormat="1">
      <alignment horizontal="right" shrinkToFit="0" vertical="center" wrapText="0"/>
    </xf>
    <xf borderId="1" fillId="8" fontId="10" numFmtId="0" xfId="0" applyAlignment="1" applyBorder="1" applyFont="1">
      <alignment readingOrder="0" shrinkToFit="0" vertical="center" wrapText="0"/>
    </xf>
    <xf borderId="1" fillId="6" fontId="10" numFmtId="165" xfId="0" applyAlignment="1" applyBorder="1" applyFont="1" applyNumberFormat="1">
      <alignment shrinkToFit="0" vertical="center" wrapText="0"/>
    </xf>
    <xf borderId="1" fillId="8" fontId="1" numFmtId="0" xfId="0" applyAlignment="1" applyBorder="1" applyFont="1">
      <alignment horizontal="left"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0" fillId="8" fontId="10" numFmtId="0" xfId="0" applyAlignment="1" applyFont="1">
      <alignment readingOrder="0" shrinkToFit="0" vertical="center" wrapText="0"/>
    </xf>
    <xf borderId="0" fillId="6" fontId="10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0" fillId="8" fontId="1" numFmtId="165" xfId="0" applyAlignment="1" applyFont="1" applyNumberFormat="1">
      <alignment readingOrder="0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2" fontId="1" numFmtId="166" xfId="0" applyAlignment="1" applyFont="1" applyNumberFormat="1">
      <alignment readingOrder="0" shrinkToFit="0" vertical="center" wrapText="0"/>
    </xf>
    <xf borderId="0" fillId="7" fontId="3" numFmtId="166" xfId="0" applyAlignment="1" applyFont="1" applyNumberFormat="1">
      <alignment shrinkToFit="0" vertical="center" wrapText="0"/>
    </xf>
    <xf borderId="0" fillId="8" fontId="9" numFmtId="0" xfId="0" applyAlignment="1" applyFont="1">
      <alignment readingOrder="0" shrinkToFit="0" vertical="center" wrapText="0"/>
    </xf>
    <xf borderId="1" fillId="5" fontId="10" numFmtId="0" xfId="0" applyAlignment="1" applyBorder="1" applyFont="1">
      <alignment horizontal="left" readingOrder="0" shrinkToFit="0" vertical="bottom" wrapText="0"/>
    </xf>
    <xf borderId="1" fillId="2" fontId="9" numFmtId="0" xfId="0" applyAlignment="1" applyBorder="1" applyFont="1">
      <alignment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0" fillId="5" fontId="5" numFmtId="166" xfId="0" applyAlignment="1" applyFont="1" applyNumberFormat="1">
      <alignment readingOrder="0" shrinkToFit="0" vertical="center" wrapText="0"/>
    </xf>
    <xf borderId="0" fillId="0" fontId="21" numFmtId="166" xfId="0" applyAlignment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1" fillId="8" fontId="5" numFmtId="0" xfId="0" applyAlignment="1" applyBorder="1" applyFont="1">
      <alignment readingOrder="0" shrinkToFit="0" vertical="center" wrapText="0"/>
    </xf>
    <xf borderId="1" fillId="8" fontId="1" numFmtId="166" xfId="0" applyAlignment="1" applyBorder="1" applyFont="1" applyNumberFormat="1">
      <alignment readingOrder="0" shrinkToFit="0" vertical="center" wrapText="0"/>
    </xf>
    <xf borderId="0" fillId="5" fontId="9" numFmtId="0" xfId="0" applyAlignment="1" applyFont="1">
      <alignment readingOrder="0" shrinkToFit="0" vertical="center" wrapText="0"/>
    </xf>
    <xf borderId="0" fillId="5" fontId="9" numFmtId="0" xfId="0" applyAlignment="1" applyFont="1">
      <alignment readingOrder="0" shrinkToFit="0" vertical="center" wrapText="0"/>
    </xf>
    <xf borderId="0" fillId="5" fontId="10" numFmtId="0" xfId="0" applyAlignment="1" applyFont="1">
      <alignment horizontal="center" shrinkToFit="0" vertical="bottom" wrapText="0"/>
    </xf>
    <xf borderId="0" fillId="5" fontId="9" numFmtId="165" xfId="0" applyAlignment="1" applyFont="1" applyNumberFormat="1">
      <alignment horizontal="center" readingOrder="0" shrinkToFit="0" vertical="center" wrapText="0"/>
    </xf>
    <xf borderId="0" fillId="5" fontId="9" numFmtId="0" xfId="0" applyAlignment="1" applyFont="1">
      <alignment horizontal="center" readingOrder="0" shrinkToFit="0" vertical="center" wrapText="0"/>
    </xf>
    <xf borderId="0" fillId="5" fontId="9" numFmtId="164" xfId="0" applyAlignment="1" applyFont="1" applyNumberForma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0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5" displayName="AMVI" name="AMVI" id="4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3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3" t="s">
        <v>0</v>
      </c>
      <c r="B2" s="3" t="s">
        <v>1</v>
      </c>
      <c r="C2" s="3" t="s">
        <v>3</v>
      </c>
      <c r="D2" s="3" t="s">
        <v>4</v>
      </c>
      <c r="E2" s="7" t="s">
        <v>5</v>
      </c>
      <c r="F2" s="10" t="s">
        <v>9</v>
      </c>
      <c r="G2" s="13" t="s">
        <v>10</v>
      </c>
      <c r="H2" s="3" t="s">
        <v>12</v>
      </c>
      <c r="I2" s="3" t="s">
        <v>14</v>
      </c>
      <c r="J2" s="17" t="s">
        <v>16</v>
      </c>
      <c r="K2" s="21" t="s">
        <v>17</v>
      </c>
    </row>
    <row r="3">
      <c r="A3" s="24" t="s">
        <v>20</v>
      </c>
      <c r="B3" s="26" t="s">
        <v>20</v>
      </c>
      <c r="C3" s="28"/>
      <c r="D3" s="28"/>
      <c r="E3" s="30"/>
      <c r="F3" s="33"/>
      <c r="G3" s="35">
        <v>46054.0</v>
      </c>
      <c r="H3" s="24" t="s">
        <v>27</v>
      </c>
      <c r="I3" s="38"/>
      <c r="J3" s="41">
        <v>49731.55</v>
      </c>
      <c r="K3" s="44">
        <f>J3</f>
        <v>49731.55</v>
      </c>
    </row>
    <row r="4">
      <c r="A4" s="24" t="s">
        <v>48</v>
      </c>
      <c r="B4" s="26" t="s">
        <v>48</v>
      </c>
      <c r="C4" s="28"/>
      <c r="D4" s="28"/>
      <c r="E4" s="48"/>
      <c r="F4" s="33"/>
      <c r="G4" s="35">
        <v>46058.0</v>
      </c>
      <c r="H4" s="24" t="s">
        <v>27</v>
      </c>
      <c r="I4" s="38"/>
      <c r="J4" s="41">
        <v>24.26</v>
      </c>
      <c r="K4" s="49">
        <f t="shared" ref="K4:K140" si="1">K3+J4</f>
        <v>49755.81</v>
      </c>
    </row>
    <row r="5">
      <c r="A5" s="24" t="s">
        <v>48</v>
      </c>
      <c r="B5" s="26" t="s">
        <v>48</v>
      </c>
      <c r="C5" s="28"/>
      <c r="D5" s="28"/>
      <c r="E5" s="48"/>
      <c r="F5" s="33"/>
      <c r="G5" s="35">
        <v>46059.0</v>
      </c>
      <c r="H5" s="24" t="s">
        <v>27</v>
      </c>
      <c r="I5" s="31" t="s">
        <v>62</v>
      </c>
      <c r="J5" s="41">
        <v>12.75</v>
      </c>
      <c r="K5" s="49">
        <f t="shared" si="1"/>
        <v>49768.56</v>
      </c>
    </row>
    <row r="6">
      <c r="A6" s="24" t="s">
        <v>57</v>
      </c>
      <c r="B6" s="26" t="s">
        <v>66</v>
      </c>
      <c r="C6" s="28"/>
      <c r="D6" s="57">
        <v>2.0</v>
      </c>
      <c r="E6" s="30">
        <v>10.0</v>
      </c>
      <c r="F6" s="33">
        <v>12.0</v>
      </c>
      <c r="G6" s="35">
        <v>46059.0</v>
      </c>
      <c r="H6" s="24" t="s">
        <v>27</v>
      </c>
      <c r="I6" s="56" t="s">
        <v>62</v>
      </c>
      <c r="J6" s="41">
        <v>6563.74</v>
      </c>
      <c r="K6" s="49">
        <f t="shared" si="1"/>
        <v>56332.3</v>
      </c>
    </row>
    <row r="7">
      <c r="A7" s="59" t="s">
        <v>19</v>
      </c>
      <c r="B7" s="60" t="s">
        <v>71</v>
      </c>
      <c r="C7" s="28"/>
      <c r="D7" s="28"/>
      <c r="E7" s="61"/>
      <c r="F7" s="62"/>
      <c r="G7" s="35">
        <v>46062.0</v>
      </c>
      <c r="H7" s="24" t="s">
        <v>27</v>
      </c>
      <c r="I7" s="38"/>
      <c r="J7" s="41">
        <v>-3194.73</v>
      </c>
      <c r="K7" s="49">
        <f t="shared" si="1"/>
        <v>53137.57</v>
      </c>
    </row>
    <row r="8">
      <c r="A8" s="24" t="s">
        <v>48</v>
      </c>
      <c r="B8" s="26" t="s">
        <v>48</v>
      </c>
      <c r="C8" s="28"/>
      <c r="D8" s="28"/>
      <c r="E8" s="48"/>
      <c r="F8" s="33"/>
      <c r="G8" s="35">
        <v>46062.0</v>
      </c>
      <c r="H8" s="24" t="s">
        <v>27</v>
      </c>
      <c r="I8" s="38"/>
      <c r="J8" s="41">
        <v>35.52</v>
      </c>
      <c r="K8" s="49">
        <f t="shared" si="1"/>
        <v>53173.09</v>
      </c>
    </row>
    <row r="9">
      <c r="A9" s="24" t="s">
        <v>57</v>
      </c>
      <c r="B9" s="26" t="s">
        <v>80</v>
      </c>
      <c r="C9" s="28"/>
      <c r="D9" s="57">
        <v>1.0</v>
      </c>
      <c r="E9" s="30">
        <v>11.0</v>
      </c>
      <c r="F9" s="33">
        <v>12.0</v>
      </c>
      <c r="G9" s="35">
        <v>46063.0</v>
      </c>
      <c r="H9" s="24" t="s">
        <v>27</v>
      </c>
      <c r="I9" s="38"/>
      <c r="J9" s="41">
        <v>3281.87</v>
      </c>
      <c r="K9" s="49">
        <f t="shared" si="1"/>
        <v>56454.96</v>
      </c>
    </row>
    <row r="10">
      <c r="A10" s="24" t="s">
        <v>48</v>
      </c>
      <c r="B10" s="26" t="s">
        <v>48</v>
      </c>
      <c r="C10" s="28"/>
      <c r="D10" s="28"/>
      <c r="E10" s="48"/>
      <c r="F10" s="33"/>
      <c r="G10" s="35">
        <v>46063.0</v>
      </c>
      <c r="H10" s="24" t="s">
        <v>27</v>
      </c>
      <c r="I10" s="31" t="s">
        <v>62</v>
      </c>
      <c r="J10" s="41">
        <v>15.89</v>
      </c>
      <c r="K10" s="49">
        <f t="shared" si="1"/>
        <v>56470.85</v>
      </c>
    </row>
    <row r="11">
      <c r="A11" s="24" t="s">
        <v>57</v>
      </c>
      <c r="B11" s="26" t="s">
        <v>86</v>
      </c>
      <c r="C11" s="28"/>
      <c r="D11" s="57">
        <v>1.0</v>
      </c>
      <c r="E11" s="30">
        <v>11.0</v>
      </c>
      <c r="F11" s="33">
        <v>12.0</v>
      </c>
      <c r="G11" s="35">
        <v>46065.0</v>
      </c>
      <c r="H11" s="24" t="s">
        <v>27</v>
      </c>
      <c r="I11" s="56" t="s">
        <v>62</v>
      </c>
      <c r="J11" s="41">
        <v>13300.21</v>
      </c>
      <c r="K11" s="49">
        <f t="shared" si="1"/>
        <v>69771.06</v>
      </c>
    </row>
    <row r="12">
      <c r="A12" s="24" t="s">
        <v>48</v>
      </c>
      <c r="B12" s="26" t="s">
        <v>48</v>
      </c>
      <c r="C12" s="28"/>
      <c r="D12" s="28"/>
      <c r="E12" s="48"/>
      <c r="F12" s="33"/>
      <c r="G12" s="35">
        <v>46065.0</v>
      </c>
      <c r="H12" s="24" t="s">
        <v>27</v>
      </c>
      <c r="I12" s="56" t="s">
        <v>62</v>
      </c>
      <c r="J12" s="41">
        <v>32.42</v>
      </c>
      <c r="K12" s="49">
        <f t="shared" si="1"/>
        <v>69803.48</v>
      </c>
    </row>
    <row r="13">
      <c r="A13" s="24" t="s">
        <v>19</v>
      </c>
      <c r="B13" s="26" t="s">
        <v>92</v>
      </c>
      <c r="C13" s="28"/>
      <c r="D13" s="28"/>
      <c r="E13" s="48"/>
      <c r="F13" s="33"/>
      <c r="G13" s="35">
        <v>46067.0</v>
      </c>
      <c r="H13" s="24" t="s">
        <v>27</v>
      </c>
      <c r="I13" s="56" t="s">
        <v>62</v>
      </c>
      <c r="J13" s="41">
        <v>-220.0</v>
      </c>
      <c r="K13" s="49">
        <f t="shared" si="1"/>
        <v>69583.48</v>
      </c>
    </row>
    <row r="14">
      <c r="A14" s="24" t="s">
        <v>57</v>
      </c>
      <c r="B14" s="26" t="s">
        <v>95</v>
      </c>
      <c r="C14" s="28"/>
      <c r="D14" s="57">
        <v>1.0</v>
      </c>
      <c r="E14" s="30">
        <v>11.0</v>
      </c>
      <c r="F14" s="33">
        <v>12.0</v>
      </c>
      <c r="G14" s="35">
        <v>46073.0</v>
      </c>
      <c r="H14" s="24" t="s">
        <v>27</v>
      </c>
      <c r="I14" s="80"/>
      <c r="J14" s="41">
        <v>3281.87</v>
      </c>
      <c r="K14" s="49">
        <f t="shared" si="1"/>
        <v>72865.35</v>
      </c>
    </row>
    <row r="15">
      <c r="A15" s="24" t="s">
        <v>97</v>
      </c>
      <c r="B15" s="26" t="s">
        <v>99</v>
      </c>
      <c r="C15" s="28"/>
      <c r="D15" s="28"/>
      <c r="E15" s="48"/>
      <c r="F15" s="33"/>
      <c r="G15" s="35">
        <v>46068.0</v>
      </c>
      <c r="H15" s="24" t="s">
        <v>27</v>
      </c>
      <c r="I15" s="80"/>
      <c r="J15" s="41">
        <v>-482.87</v>
      </c>
      <c r="K15" s="49">
        <f t="shared" si="1"/>
        <v>72382.48</v>
      </c>
    </row>
    <row r="16">
      <c r="A16" s="24" t="s">
        <v>102</v>
      </c>
      <c r="B16" s="26" t="s">
        <v>103</v>
      </c>
      <c r="C16" s="28"/>
      <c r="D16" s="28"/>
      <c r="E16" s="48"/>
      <c r="F16" s="33"/>
      <c r="G16" s="35">
        <v>46073.0</v>
      </c>
      <c r="H16" s="24" t="s">
        <v>27</v>
      </c>
      <c r="I16" s="38"/>
      <c r="J16" s="41">
        <v>-8123.66</v>
      </c>
      <c r="K16" s="49">
        <f t="shared" si="1"/>
        <v>64258.82</v>
      </c>
    </row>
    <row r="17">
      <c r="A17" s="24" t="s">
        <v>105</v>
      </c>
      <c r="B17" s="26" t="s">
        <v>105</v>
      </c>
      <c r="C17" s="28"/>
      <c r="D17" s="28"/>
      <c r="E17" s="48"/>
      <c r="F17" s="33"/>
      <c r="G17" s="35">
        <v>46073.0</v>
      </c>
      <c r="H17" s="24" t="s">
        <v>27</v>
      </c>
      <c r="I17" s="38"/>
      <c r="J17" s="41">
        <v>-3703.04</v>
      </c>
      <c r="K17" s="49">
        <f t="shared" si="1"/>
        <v>60555.78</v>
      </c>
    </row>
    <row r="18">
      <c r="A18" s="24" t="s">
        <v>105</v>
      </c>
      <c r="B18" s="26" t="s">
        <v>112</v>
      </c>
      <c r="C18" s="28"/>
      <c r="D18" s="28"/>
      <c r="E18" s="48"/>
      <c r="F18" s="33"/>
      <c r="G18" s="35">
        <v>46073.0</v>
      </c>
      <c r="H18" s="24" t="s">
        <v>27</v>
      </c>
      <c r="I18" s="56" t="s">
        <v>62</v>
      </c>
      <c r="J18" s="41">
        <v>1683.2</v>
      </c>
      <c r="K18" s="49">
        <f t="shared" si="1"/>
        <v>62238.98</v>
      </c>
    </row>
    <row r="19">
      <c r="A19" s="24" t="s">
        <v>48</v>
      </c>
      <c r="B19" s="26" t="s">
        <v>48</v>
      </c>
      <c r="C19" s="28"/>
      <c r="D19" s="28"/>
      <c r="E19" s="48"/>
      <c r="F19" s="33"/>
      <c r="G19" s="35">
        <v>46075.0</v>
      </c>
      <c r="H19" s="24" t="s">
        <v>27</v>
      </c>
      <c r="I19" s="56" t="s">
        <v>62</v>
      </c>
      <c r="J19" s="41">
        <v>121.28</v>
      </c>
      <c r="K19" s="49">
        <f t="shared" si="1"/>
        <v>62360.26</v>
      </c>
    </row>
    <row r="20">
      <c r="A20" s="24" t="s">
        <v>19</v>
      </c>
      <c r="B20" s="26" t="s">
        <v>124</v>
      </c>
      <c r="C20" s="28"/>
      <c r="D20" s="28"/>
      <c r="E20" s="48"/>
      <c r="F20" s="33"/>
      <c r="G20" s="35">
        <v>46076.0</v>
      </c>
      <c r="H20" s="24" t="s">
        <v>27</v>
      </c>
      <c r="I20" s="56" t="s">
        <v>62</v>
      </c>
      <c r="J20" s="41">
        <v>-3880.16</v>
      </c>
      <c r="K20" s="49">
        <f t="shared" si="1"/>
        <v>58480.1</v>
      </c>
    </row>
    <row r="21">
      <c r="A21" s="24" t="s">
        <v>48</v>
      </c>
      <c r="B21" s="26" t="s">
        <v>48</v>
      </c>
      <c r="C21" s="28"/>
      <c r="D21" s="28"/>
      <c r="E21" s="48"/>
      <c r="F21" s="33"/>
      <c r="G21" s="35">
        <v>46079.0</v>
      </c>
      <c r="H21" s="24" t="s">
        <v>27</v>
      </c>
      <c r="I21" s="56" t="s">
        <v>62</v>
      </c>
      <c r="J21" s="41">
        <v>64.55</v>
      </c>
      <c r="K21" s="49">
        <f t="shared" si="1"/>
        <v>58544.65</v>
      </c>
    </row>
    <row r="22">
      <c r="A22" s="59" t="s">
        <v>118</v>
      </c>
      <c r="B22" s="60" t="s">
        <v>129</v>
      </c>
      <c r="C22" s="28"/>
      <c r="D22" s="28"/>
      <c r="E22" s="61"/>
      <c r="F22" s="62"/>
      <c r="G22" s="35">
        <v>46080.0</v>
      </c>
      <c r="H22" s="24" t="s">
        <v>27</v>
      </c>
      <c r="I22" s="95" t="s">
        <v>62</v>
      </c>
      <c r="J22" s="41">
        <v>-4814.87</v>
      </c>
      <c r="K22" s="49">
        <f t="shared" si="1"/>
        <v>53729.78</v>
      </c>
    </row>
    <row r="23">
      <c r="A23" s="59" t="s">
        <v>118</v>
      </c>
      <c r="B23" s="60" t="s">
        <v>136</v>
      </c>
      <c r="C23" s="28"/>
      <c r="D23" s="28"/>
      <c r="E23" s="61"/>
      <c r="F23" s="62"/>
      <c r="G23" s="35">
        <v>46080.0</v>
      </c>
      <c r="H23" s="24" t="s">
        <v>27</v>
      </c>
      <c r="I23" s="104"/>
      <c r="J23" s="41">
        <v>-4814.87</v>
      </c>
      <c r="K23" s="49">
        <f t="shared" si="1"/>
        <v>48914.91</v>
      </c>
    </row>
    <row r="24">
      <c r="A24" s="59" t="s">
        <v>118</v>
      </c>
      <c r="B24" s="60" t="s">
        <v>138</v>
      </c>
      <c r="C24" s="28"/>
      <c r="D24" s="28"/>
      <c r="E24" s="61"/>
      <c r="F24" s="62"/>
      <c r="G24" s="35">
        <v>46080.0</v>
      </c>
      <c r="H24" s="24" t="s">
        <v>27</v>
      </c>
      <c r="I24" s="105"/>
      <c r="J24" s="41">
        <v>-3604.17</v>
      </c>
      <c r="K24" s="49">
        <f t="shared" si="1"/>
        <v>45310.74</v>
      </c>
    </row>
    <row r="25">
      <c r="A25" s="59" t="s">
        <v>118</v>
      </c>
      <c r="B25" s="60" t="s">
        <v>142</v>
      </c>
      <c r="C25" s="28"/>
      <c r="D25" s="28"/>
      <c r="E25" s="61"/>
      <c r="F25" s="62"/>
      <c r="G25" s="35">
        <v>46080.0</v>
      </c>
      <c r="H25" s="24" t="s">
        <v>27</v>
      </c>
      <c r="I25" s="38"/>
      <c r="J25" s="41">
        <v>-3604.17</v>
      </c>
      <c r="K25" s="49">
        <f t="shared" si="1"/>
        <v>41706.57</v>
      </c>
    </row>
    <row r="26">
      <c r="A26" s="59" t="s">
        <v>118</v>
      </c>
      <c r="B26" s="60" t="s">
        <v>145</v>
      </c>
      <c r="C26" s="28"/>
      <c r="D26" s="28"/>
      <c r="E26" s="61"/>
      <c r="F26" s="62"/>
      <c r="G26" s="35">
        <v>46083.0</v>
      </c>
      <c r="H26" s="24" t="s">
        <v>27</v>
      </c>
      <c r="I26" s="104"/>
      <c r="J26" s="41">
        <v>-6002.04</v>
      </c>
      <c r="K26" s="49">
        <f t="shared" si="1"/>
        <v>35704.53</v>
      </c>
    </row>
    <row r="27">
      <c r="A27" s="24" t="s">
        <v>57</v>
      </c>
      <c r="B27" s="26" t="s">
        <v>149</v>
      </c>
      <c r="C27" s="28"/>
      <c r="D27" s="57">
        <v>12.0</v>
      </c>
      <c r="E27" s="30">
        <v>0.0</v>
      </c>
      <c r="F27" s="33">
        <v>12.0</v>
      </c>
      <c r="G27" s="35">
        <v>46083.0</v>
      </c>
      <c r="H27" s="24" t="s">
        <v>27</v>
      </c>
      <c r="I27" s="104"/>
      <c r="J27" s="41">
        <v>7497.84</v>
      </c>
      <c r="K27" s="49">
        <f t="shared" si="1"/>
        <v>43202.37</v>
      </c>
    </row>
    <row r="28">
      <c r="A28" s="24" t="s">
        <v>57</v>
      </c>
      <c r="B28" s="26" t="s">
        <v>150</v>
      </c>
      <c r="C28" s="28"/>
      <c r="D28" s="57">
        <v>2.0</v>
      </c>
      <c r="E28" s="30">
        <v>10.0</v>
      </c>
      <c r="F28" s="33">
        <v>12.0</v>
      </c>
      <c r="G28" s="35">
        <v>46085.0</v>
      </c>
      <c r="H28" s="24" t="s">
        <v>27</v>
      </c>
      <c r="I28" s="38"/>
      <c r="J28" s="41">
        <v>18050.28</v>
      </c>
      <c r="K28" s="49">
        <f t="shared" si="1"/>
        <v>61252.65</v>
      </c>
    </row>
    <row r="29">
      <c r="A29" s="24" t="s">
        <v>57</v>
      </c>
      <c r="B29" s="26" t="s">
        <v>151</v>
      </c>
      <c r="C29" s="28"/>
      <c r="D29" s="57">
        <v>1.0</v>
      </c>
      <c r="E29" s="30">
        <v>11.0</v>
      </c>
      <c r="F29" s="33">
        <v>12.0</v>
      </c>
      <c r="G29" s="35">
        <v>46085.0</v>
      </c>
      <c r="H29" s="24" t="s">
        <v>27</v>
      </c>
      <c r="I29" s="38"/>
      <c r="J29" s="41">
        <v>2461.4</v>
      </c>
      <c r="K29" s="49">
        <f t="shared" si="1"/>
        <v>63714.05</v>
      </c>
    </row>
    <row r="30">
      <c r="A30" s="24" t="s">
        <v>19</v>
      </c>
      <c r="B30" s="26" t="s">
        <v>124</v>
      </c>
      <c r="C30" s="28"/>
      <c r="D30" s="28"/>
      <c r="E30" s="48"/>
      <c r="F30" s="33"/>
      <c r="G30" s="35">
        <v>46085.0</v>
      </c>
      <c r="H30" s="24" t="s">
        <v>27</v>
      </c>
      <c r="I30" s="38"/>
      <c r="J30" s="41">
        <v>-3880.16</v>
      </c>
      <c r="K30" s="49">
        <f t="shared" si="1"/>
        <v>59833.89</v>
      </c>
    </row>
    <row r="31">
      <c r="A31" s="24" t="s">
        <v>57</v>
      </c>
      <c r="B31" s="26" t="s">
        <v>151</v>
      </c>
      <c r="C31" s="28"/>
      <c r="D31" s="57">
        <v>2.0</v>
      </c>
      <c r="E31" s="30">
        <v>10.0</v>
      </c>
      <c r="F31" s="33">
        <v>12.0</v>
      </c>
      <c r="G31" s="35">
        <v>46091.0</v>
      </c>
      <c r="H31" s="24" t="s">
        <v>27</v>
      </c>
      <c r="I31" s="38"/>
      <c r="J31" s="41">
        <v>2461.4</v>
      </c>
      <c r="K31" s="49">
        <f t="shared" si="1"/>
        <v>62295.29</v>
      </c>
    </row>
    <row r="32">
      <c r="A32" s="24" t="s">
        <v>57</v>
      </c>
      <c r="B32" s="26" t="s">
        <v>86</v>
      </c>
      <c r="C32" s="28"/>
      <c r="D32" s="57">
        <v>2.0</v>
      </c>
      <c r="E32" s="30">
        <v>10.0</v>
      </c>
      <c r="F32" s="33">
        <v>12.0</v>
      </c>
      <c r="G32" s="35">
        <v>46091.0</v>
      </c>
      <c r="H32" s="24" t="s">
        <v>27</v>
      </c>
      <c r="I32" s="38"/>
      <c r="J32" s="41">
        <v>13300.21</v>
      </c>
      <c r="K32" s="49">
        <f t="shared" si="1"/>
        <v>75595.5</v>
      </c>
    </row>
    <row r="33">
      <c r="A33" s="24" t="s">
        <v>19</v>
      </c>
      <c r="B33" s="26" t="s">
        <v>156</v>
      </c>
      <c r="C33" s="28"/>
      <c r="D33" s="28"/>
      <c r="E33" s="48"/>
      <c r="F33" s="33"/>
      <c r="G33" s="35">
        <v>46091.0</v>
      </c>
      <c r="H33" s="24" t="s">
        <v>27</v>
      </c>
      <c r="I33" s="38"/>
      <c r="J33" s="41">
        <v>-3194.73</v>
      </c>
      <c r="K33" s="49">
        <f t="shared" si="1"/>
        <v>72400.77</v>
      </c>
    </row>
    <row r="34">
      <c r="A34" s="24" t="s">
        <v>57</v>
      </c>
      <c r="B34" s="26" t="s">
        <v>66</v>
      </c>
      <c r="C34" s="28"/>
      <c r="D34" s="57">
        <v>3.0</v>
      </c>
      <c r="E34" s="30">
        <v>9.0</v>
      </c>
      <c r="F34" s="33">
        <v>12.0</v>
      </c>
      <c r="G34" s="35">
        <v>46093.0</v>
      </c>
      <c r="H34" s="24" t="s">
        <v>27</v>
      </c>
      <c r="I34" s="38"/>
      <c r="J34" s="41">
        <v>3281.87</v>
      </c>
      <c r="K34" s="49">
        <f t="shared" si="1"/>
        <v>75682.64</v>
      </c>
    </row>
    <row r="35">
      <c r="A35" s="24" t="s">
        <v>57</v>
      </c>
      <c r="B35" s="117" t="s">
        <v>80</v>
      </c>
      <c r="C35" s="28"/>
      <c r="D35" s="57">
        <v>2.0</v>
      </c>
      <c r="E35" s="30">
        <v>10.0</v>
      </c>
      <c r="F35" s="33">
        <v>12.0</v>
      </c>
      <c r="G35" s="35">
        <v>46094.0</v>
      </c>
      <c r="H35" s="24" t="s">
        <v>27</v>
      </c>
      <c r="I35" s="38"/>
      <c r="J35" s="41">
        <v>3281.87</v>
      </c>
      <c r="K35" s="49">
        <f t="shared" si="1"/>
        <v>78964.51</v>
      </c>
    </row>
    <row r="36">
      <c r="A36" s="24" t="s">
        <v>57</v>
      </c>
      <c r="B36" s="26" t="s">
        <v>95</v>
      </c>
      <c r="C36" s="28"/>
      <c r="D36" s="57">
        <v>2.0</v>
      </c>
      <c r="E36" s="30">
        <v>10.0</v>
      </c>
      <c r="F36" s="33">
        <v>12.0</v>
      </c>
      <c r="G36" s="35">
        <v>46094.0</v>
      </c>
      <c r="H36" s="24" t="s">
        <v>27</v>
      </c>
      <c r="I36" s="38"/>
      <c r="J36" s="41">
        <v>6563.74</v>
      </c>
      <c r="K36" s="49">
        <f t="shared" si="1"/>
        <v>85528.25</v>
      </c>
    </row>
    <row r="37">
      <c r="A37" s="24" t="s">
        <v>48</v>
      </c>
      <c r="B37" s="26" t="s">
        <v>48</v>
      </c>
      <c r="C37" s="28"/>
      <c r="D37" s="28"/>
      <c r="E37" s="48"/>
      <c r="F37" s="33"/>
      <c r="G37" s="35">
        <v>46094.0</v>
      </c>
      <c r="H37" s="24" t="s">
        <v>27</v>
      </c>
      <c r="I37" s="38"/>
      <c r="J37" s="41">
        <v>155.41</v>
      </c>
      <c r="K37" s="49">
        <f t="shared" si="1"/>
        <v>85683.66</v>
      </c>
    </row>
    <row r="38">
      <c r="A38" s="24" t="s">
        <v>168</v>
      </c>
      <c r="B38" s="26" t="s">
        <v>169</v>
      </c>
      <c r="C38" s="28"/>
      <c r="D38" s="28"/>
      <c r="E38" s="48"/>
      <c r="F38" s="33"/>
      <c r="G38" s="35">
        <v>46097.0</v>
      </c>
      <c r="H38" s="24" t="s">
        <v>27</v>
      </c>
      <c r="I38" s="38"/>
      <c r="J38" s="41">
        <v>-1000.0</v>
      </c>
      <c r="K38" s="49">
        <f t="shared" si="1"/>
        <v>84683.66</v>
      </c>
    </row>
    <row r="39">
      <c r="A39" s="24" t="s">
        <v>105</v>
      </c>
      <c r="B39" s="26" t="s">
        <v>171</v>
      </c>
      <c r="C39" s="28"/>
      <c r="D39" s="28"/>
      <c r="E39" s="48"/>
      <c r="F39" s="33"/>
      <c r="G39" s="35">
        <v>46100.0</v>
      </c>
      <c r="H39" s="24" t="s">
        <v>27</v>
      </c>
      <c r="I39" s="38"/>
      <c r="J39" s="41">
        <v>1586.68</v>
      </c>
      <c r="K39" s="49">
        <f t="shared" si="1"/>
        <v>86270.34</v>
      </c>
    </row>
    <row r="40">
      <c r="A40" s="24" t="s">
        <v>105</v>
      </c>
      <c r="B40" s="26" t="s">
        <v>105</v>
      </c>
      <c r="C40" s="28"/>
      <c r="D40" s="28"/>
      <c r="E40" s="48"/>
      <c r="F40" s="33"/>
      <c r="G40" s="35">
        <v>46100.0</v>
      </c>
      <c r="H40" s="24" t="s">
        <v>27</v>
      </c>
      <c r="I40" s="38"/>
      <c r="J40" s="41">
        <v>-3763.96</v>
      </c>
      <c r="K40" s="49">
        <f t="shared" si="1"/>
        <v>82506.38</v>
      </c>
    </row>
    <row r="41">
      <c r="A41" s="24" t="s">
        <v>102</v>
      </c>
      <c r="B41" s="26" t="s">
        <v>103</v>
      </c>
      <c r="C41" s="28"/>
      <c r="D41" s="28"/>
      <c r="E41" s="48"/>
      <c r="F41" s="33"/>
      <c r="G41" s="35">
        <v>46100.0</v>
      </c>
      <c r="H41" s="24" t="s">
        <v>27</v>
      </c>
      <c r="I41" s="38"/>
      <c r="J41" s="41">
        <v>-8820.76</v>
      </c>
      <c r="K41" s="49">
        <f t="shared" si="1"/>
        <v>73685.62</v>
      </c>
    </row>
    <row r="42">
      <c r="A42" s="24" t="s">
        <v>97</v>
      </c>
      <c r="B42" s="26" t="s">
        <v>99</v>
      </c>
      <c r="C42" s="28"/>
      <c r="D42" s="28"/>
      <c r="E42" s="48"/>
      <c r="F42" s="33"/>
      <c r="G42" s="35">
        <v>46101.0</v>
      </c>
      <c r="H42" s="24" t="s">
        <v>27</v>
      </c>
      <c r="I42" s="126"/>
      <c r="J42" s="41">
        <v>-482.87</v>
      </c>
      <c r="K42" s="49">
        <f t="shared" si="1"/>
        <v>73202.75</v>
      </c>
    </row>
    <row r="43">
      <c r="A43" s="24" t="s">
        <v>173</v>
      </c>
      <c r="B43" s="26" t="s">
        <v>181</v>
      </c>
      <c r="C43" s="28"/>
      <c r="D43" s="28"/>
      <c r="E43" s="48"/>
      <c r="F43" s="33"/>
      <c r="G43" s="35">
        <v>46104.0</v>
      </c>
      <c r="H43" s="24" t="s">
        <v>27</v>
      </c>
      <c r="I43" s="126"/>
      <c r="J43" s="41">
        <v>14123.0</v>
      </c>
      <c r="K43" s="49">
        <f t="shared" si="1"/>
        <v>87325.75</v>
      </c>
    </row>
    <row r="44">
      <c r="A44" s="24" t="s">
        <v>19</v>
      </c>
      <c r="B44" s="26" t="s">
        <v>183</v>
      </c>
      <c r="C44" s="28"/>
      <c r="D44" s="28"/>
      <c r="E44" s="48"/>
      <c r="F44" s="33"/>
      <c r="G44" s="35">
        <v>46105.0</v>
      </c>
      <c r="H44" s="24" t="s">
        <v>27</v>
      </c>
      <c r="I44" s="38"/>
      <c r="J44" s="41">
        <v>-254.0</v>
      </c>
      <c r="K44" s="49">
        <f t="shared" si="1"/>
        <v>87071.75</v>
      </c>
    </row>
    <row r="45">
      <c r="A45" s="24" t="s">
        <v>19</v>
      </c>
      <c r="B45" s="26" t="s">
        <v>185</v>
      </c>
      <c r="C45" s="28"/>
      <c r="D45" s="28"/>
      <c r="E45" s="48"/>
      <c r="F45" s="33"/>
      <c r="G45" s="35">
        <v>46107.0</v>
      </c>
      <c r="H45" s="24" t="s">
        <v>27</v>
      </c>
      <c r="I45" s="38"/>
      <c r="J45" s="41">
        <v>-9.94</v>
      </c>
      <c r="K45" s="49">
        <f t="shared" si="1"/>
        <v>87061.81</v>
      </c>
    </row>
    <row r="46">
      <c r="A46" s="24" t="s">
        <v>173</v>
      </c>
      <c r="B46" s="26" t="s">
        <v>189</v>
      </c>
      <c r="C46" s="28"/>
      <c r="D46" s="28"/>
      <c r="E46" s="48"/>
      <c r="F46" s="33"/>
      <c r="G46" s="35">
        <v>46107.0</v>
      </c>
      <c r="H46" s="24" t="s">
        <v>27</v>
      </c>
      <c r="I46" s="38"/>
      <c r="J46" s="41">
        <v>-14123.0</v>
      </c>
      <c r="K46" s="49">
        <f t="shared" si="1"/>
        <v>72938.81</v>
      </c>
    </row>
    <row r="47">
      <c r="A47" s="24" t="s">
        <v>48</v>
      </c>
      <c r="B47" s="26" t="s">
        <v>48</v>
      </c>
      <c r="C47" s="28"/>
      <c r="D47" s="28"/>
      <c r="E47" s="48"/>
      <c r="F47" s="33"/>
      <c r="G47" s="35">
        <v>46107.0</v>
      </c>
      <c r="H47" s="24" t="s">
        <v>27</v>
      </c>
      <c r="I47" s="38"/>
      <c r="J47" s="41">
        <v>198.41</v>
      </c>
      <c r="K47" s="49">
        <f t="shared" si="1"/>
        <v>73137.22</v>
      </c>
    </row>
    <row r="48">
      <c r="A48" s="59" t="s">
        <v>191</v>
      </c>
      <c r="B48" s="60" t="s">
        <v>192</v>
      </c>
      <c r="C48" s="28"/>
      <c r="D48" s="28"/>
      <c r="E48" s="61"/>
      <c r="F48" s="62"/>
      <c r="G48" s="35">
        <v>46112.0</v>
      </c>
      <c r="H48" s="24" t="s">
        <v>27</v>
      </c>
      <c r="I48" s="38"/>
      <c r="J48" s="41">
        <v>-82.63</v>
      </c>
      <c r="K48" s="49">
        <f t="shared" si="1"/>
        <v>73054.59</v>
      </c>
    </row>
    <row r="49">
      <c r="A49" s="59" t="s">
        <v>118</v>
      </c>
      <c r="B49" s="60" t="s">
        <v>129</v>
      </c>
      <c r="C49" s="28"/>
      <c r="D49" s="28"/>
      <c r="E49" s="61"/>
      <c r="F49" s="62"/>
      <c r="G49" s="35">
        <v>46112.0</v>
      </c>
      <c r="H49" s="24" t="s">
        <v>27</v>
      </c>
      <c r="I49" s="38"/>
      <c r="J49" s="41">
        <v>-4722.24</v>
      </c>
      <c r="K49" s="49">
        <f t="shared" si="1"/>
        <v>68332.35</v>
      </c>
    </row>
    <row r="50">
      <c r="A50" s="59" t="s">
        <v>118</v>
      </c>
      <c r="B50" s="60" t="s">
        <v>136</v>
      </c>
      <c r="C50" s="28"/>
      <c r="D50" s="28"/>
      <c r="E50" s="61"/>
      <c r="F50" s="62"/>
      <c r="G50" s="35">
        <v>46112.0</v>
      </c>
      <c r="H50" s="24" t="s">
        <v>27</v>
      </c>
      <c r="I50" s="38"/>
      <c r="J50" s="41">
        <v>-4722.24</v>
      </c>
      <c r="K50" s="49">
        <f t="shared" si="1"/>
        <v>63610.11</v>
      </c>
    </row>
    <row r="51">
      <c r="A51" s="59" t="s">
        <v>118</v>
      </c>
      <c r="B51" s="60" t="s">
        <v>138</v>
      </c>
      <c r="C51" s="28"/>
      <c r="D51" s="28"/>
      <c r="E51" s="61"/>
      <c r="F51" s="62"/>
      <c r="G51" s="35">
        <v>46112.0</v>
      </c>
      <c r="H51" s="24" t="s">
        <v>27</v>
      </c>
      <c r="I51" s="38"/>
      <c r="J51" s="41">
        <v>-3477.87</v>
      </c>
      <c r="K51" s="49">
        <f t="shared" si="1"/>
        <v>60132.24</v>
      </c>
    </row>
    <row r="52">
      <c r="A52" s="59" t="s">
        <v>118</v>
      </c>
      <c r="B52" s="60" t="s">
        <v>142</v>
      </c>
      <c r="C52" s="28"/>
      <c r="D52" s="28"/>
      <c r="E52" s="61"/>
      <c r="F52" s="62"/>
      <c r="G52" s="35">
        <v>46112.0</v>
      </c>
      <c r="H52" s="24" t="s">
        <v>27</v>
      </c>
      <c r="I52" s="56" t="s">
        <v>62</v>
      </c>
      <c r="J52" s="41">
        <v>-3477.87</v>
      </c>
      <c r="K52" s="49">
        <f t="shared" si="1"/>
        <v>56654.37</v>
      </c>
    </row>
    <row r="53">
      <c r="A53" s="59" t="s">
        <v>118</v>
      </c>
      <c r="B53" s="60" t="s">
        <v>145</v>
      </c>
      <c r="C53" s="28"/>
      <c r="D53" s="28"/>
      <c r="E53" s="61"/>
      <c r="F53" s="62"/>
      <c r="G53" s="35">
        <v>46112.0</v>
      </c>
      <c r="H53" s="24" t="s">
        <v>27</v>
      </c>
      <c r="I53" s="56" t="s">
        <v>62</v>
      </c>
      <c r="J53" s="41">
        <v>-5823.07</v>
      </c>
      <c r="K53" s="49">
        <f t="shared" si="1"/>
        <v>50831.3</v>
      </c>
    </row>
    <row r="54">
      <c r="A54" s="24" t="s">
        <v>19</v>
      </c>
      <c r="B54" s="26" t="s">
        <v>195</v>
      </c>
      <c r="C54" s="28"/>
      <c r="D54" s="28"/>
      <c r="E54" s="48"/>
      <c r="F54" s="33"/>
      <c r="G54" s="35">
        <v>46119.0</v>
      </c>
      <c r="H54" s="24" t="s">
        <v>27</v>
      </c>
      <c r="I54" s="56" t="s">
        <v>62</v>
      </c>
      <c r="J54" s="41">
        <v>-3880.16</v>
      </c>
      <c r="K54" s="49">
        <f t="shared" si="1"/>
        <v>46951.14</v>
      </c>
    </row>
    <row r="55">
      <c r="A55" s="24" t="s">
        <v>168</v>
      </c>
      <c r="B55" s="26" t="s">
        <v>197</v>
      </c>
      <c r="C55" s="28"/>
      <c r="D55" s="28"/>
      <c r="E55" s="48"/>
      <c r="F55" s="33"/>
      <c r="G55" s="35">
        <v>46119.0</v>
      </c>
      <c r="H55" s="24" t="s">
        <v>27</v>
      </c>
      <c r="I55" s="56" t="s">
        <v>62</v>
      </c>
      <c r="J55" s="41">
        <v>-500.0</v>
      </c>
      <c r="K55" s="49">
        <f t="shared" si="1"/>
        <v>46451.14</v>
      </c>
    </row>
    <row r="56">
      <c r="A56" s="24" t="s">
        <v>57</v>
      </c>
      <c r="B56" s="26" t="s">
        <v>150</v>
      </c>
      <c r="C56" s="28"/>
      <c r="D56" s="57">
        <v>3.0</v>
      </c>
      <c r="E56" s="30">
        <v>9.0</v>
      </c>
      <c r="F56" s="33">
        <v>12.0</v>
      </c>
      <c r="G56" s="35">
        <v>46121.0</v>
      </c>
      <c r="H56" s="24" t="s">
        <v>27</v>
      </c>
      <c r="I56" s="38"/>
      <c r="J56" s="41">
        <v>9025.14</v>
      </c>
      <c r="K56" s="49">
        <f t="shared" si="1"/>
        <v>55476.28</v>
      </c>
    </row>
    <row r="57">
      <c r="A57" s="24" t="s">
        <v>57</v>
      </c>
      <c r="B57" s="26" t="s">
        <v>80</v>
      </c>
      <c r="C57" s="28"/>
      <c r="D57" s="57">
        <v>3.0</v>
      </c>
      <c r="E57" s="30">
        <v>9.0</v>
      </c>
      <c r="F57" s="33">
        <v>12.0</v>
      </c>
      <c r="G57" s="35">
        <v>46121.0</v>
      </c>
      <c r="H57" s="24" t="s">
        <v>27</v>
      </c>
      <c r="I57" s="38"/>
      <c r="J57" s="41">
        <v>3281.27</v>
      </c>
      <c r="K57" s="49">
        <f t="shared" si="1"/>
        <v>58757.55</v>
      </c>
    </row>
    <row r="58">
      <c r="A58" s="24" t="s">
        <v>102</v>
      </c>
      <c r="B58" s="26" t="s">
        <v>103</v>
      </c>
      <c r="C58" s="28"/>
      <c r="D58" s="28"/>
      <c r="E58" s="48"/>
      <c r="F58" s="33"/>
      <c r="G58" s="35">
        <v>46122.0</v>
      </c>
      <c r="H58" s="24" t="s">
        <v>27</v>
      </c>
      <c r="I58" s="38"/>
      <c r="J58" s="41">
        <v>-10175.54</v>
      </c>
      <c r="K58" s="49">
        <f t="shared" si="1"/>
        <v>48582.01</v>
      </c>
    </row>
    <row r="59">
      <c r="A59" s="24" t="s">
        <v>105</v>
      </c>
      <c r="B59" s="26" t="s">
        <v>105</v>
      </c>
      <c r="C59" s="28"/>
      <c r="D59" s="28"/>
      <c r="E59" s="48"/>
      <c r="F59" s="33"/>
      <c r="G59" s="35">
        <v>46122.0</v>
      </c>
      <c r="H59" s="24" t="s">
        <v>27</v>
      </c>
      <c r="I59" s="38"/>
      <c r="J59" s="41">
        <v>-3832.78</v>
      </c>
      <c r="K59" s="49">
        <f t="shared" si="1"/>
        <v>44749.23</v>
      </c>
    </row>
    <row r="60">
      <c r="A60" s="24" t="s">
        <v>105</v>
      </c>
      <c r="B60" s="26" t="s">
        <v>201</v>
      </c>
      <c r="C60" s="28"/>
      <c r="D60" s="28"/>
      <c r="E60" s="48"/>
      <c r="F60" s="33"/>
      <c r="G60" s="35">
        <v>46122.0</v>
      </c>
      <c r="H60" s="24" t="s">
        <v>27</v>
      </c>
      <c r="I60" s="126"/>
      <c r="J60" s="41">
        <v>1311.6</v>
      </c>
      <c r="K60" s="49">
        <f t="shared" si="1"/>
        <v>46060.83</v>
      </c>
    </row>
    <row r="61">
      <c r="A61" s="24" t="s">
        <v>19</v>
      </c>
      <c r="B61" s="26" t="s">
        <v>202</v>
      </c>
      <c r="C61" s="28"/>
      <c r="D61" s="28"/>
      <c r="E61" s="48"/>
      <c r="F61" s="33"/>
      <c r="G61" s="35">
        <v>46122.0</v>
      </c>
      <c r="H61" s="24" t="s">
        <v>27</v>
      </c>
      <c r="I61" s="126"/>
      <c r="J61" s="41">
        <v>-3194.73</v>
      </c>
      <c r="K61" s="49">
        <f t="shared" si="1"/>
        <v>42866.1</v>
      </c>
    </row>
    <row r="62">
      <c r="A62" s="24" t="s">
        <v>57</v>
      </c>
      <c r="B62" s="26" t="s">
        <v>86</v>
      </c>
      <c r="C62" s="28"/>
      <c r="D62" s="57">
        <v>3.0</v>
      </c>
      <c r="E62" s="30">
        <v>9.0</v>
      </c>
      <c r="F62" s="33">
        <v>12.0</v>
      </c>
      <c r="G62" s="35">
        <v>46122.0</v>
      </c>
      <c r="H62" s="24" t="s">
        <v>27</v>
      </c>
      <c r="I62" s="126"/>
      <c r="J62" s="41">
        <v>13300.21</v>
      </c>
      <c r="K62" s="49">
        <f t="shared" si="1"/>
        <v>56166.31</v>
      </c>
    </row>
    <row r="63">
      <c r="A63" s="24" t="s">
        <v>57</v>
      </c>
      <c r="B63" s="26"/>
      <c r="C63" s="28"/>
      <c r="D63" s="57">
        <v>4.0</v>
      </c>
      <c r="E63" s="30">
        <v>8.0</v>
      </c>
      <c r="F63" s="33">
        <v>12.0</v>
      </c>
      <c r="G63" s="35">
        <v>46126.0</v>
      </c>
      <c r="H63" s="24" t="s">
        <v>27</v>
      </c>
      <c r="I63" s="126"/>
      <c r="J63" s="41">
        <v>3281.87</v>
      </c>
      <c r="K63" s="49">
        <f t="shared" si="1"/>
        <v>59448.18</v>
      </c>
    </row>
    <row r="64">
      <c r="A64" s="24" t="s">
        <v>173</v>
      </c>
      <c r="B64" s="26" t="s">
        <v>174</v>
      </c>
      <c r="C64" s="28"/>
      <c r="D64" s="28"/>
      <c r="E64" s="48"/>
      <c r="F64" s="33"/>
      <c r="G64" s="35">
        <v>46127.0</v>
      </c>
      <c r="H64" s="24" t="s">
        <v>27</v>
      </c>
      <c r="I64" s="126"/>
      <c r="J64" s="41">
        <v>14123.0</v>
      </c>
      <c r="K64" s="49">
        <f t="shared" si="1"/>
        <v>73571.18</v>
      </c>
    </row>
    <row r="65">
      <c r="A65" s="24" t="s">
        <v>205</v>
      </c>
      <c r="B65" s="26" t="s">
        <v>206</v>
      </c>
      <c r="C65" s="28"/>
      <c r="D65" s="28"/>
      <c r="E65" s="48"/>
      <c r="F65" s="33"/>
      <c r="G65" s="35">
        <v>46129.0</v>
      </c>
      <c r="H65" s="24" t="s">
        <v>27</v>
      </c>
      <c r="I65" s="38"/>
      <c r="J65" s="41">
        <v>-5000.0</v>
      </c>
      <c r="K65" s="49">
        <f t="shared" si="1"/>
        <v>68571.18</v>
      </c>
    </row>
    <row r="66">
      <c r="A66" s="24" t="s">
        <v>57</v>
      </c>
      <c r="B66" s="26" t="s">
        <v>150</v>
      </c>
      <c r="C66" s="28"/>
      <c r="D66" s="57">
        <v>4.0</v>
      </c>
      <c r="E66" s="30">
        <v>8.0</v>
      </c>
      <c r="F66" s="33">
        <v>12.0</v>
      </c>
      <c r="G66" s="35">
        <v>46129.0</v>
      </c>
      <c r="H66" s="24" t="s">
        <v>27</v>
      </c>
      <c r="I66" s="38"/>
      <c r="J66" s="41">
        <v>9025.14</v>
      </c>
      <c r="K66" s="49">
        <f t="shared" si="1"/>
        <v>77596.32</v>
      </c>
    </row>
    <row r="67">
      <c r="A67" s="24" t="s">
        <v>97</v>
      </c>
      <c r="B67" s="26" t="s">
        <v>99</v>
      </c>
      <c r="C67" s="28"/>
      <c r="D67" s="28"/>
      <c r="E67" s="48"/>
      <c r="F67" s="33"/>
      <c r="G67" s="35">
        <v>46132.0</v>
      </c>
      <c r="H67" s="24" t="s">
        <v>27</v>
      </c>
      <c r="I67" s="38"/>
      <c r="J67" s="41">
        <v>-482.87</v>
      </c>
      <c r="K67" s="49">
        <f t="shared" si="1"/>
        <v>77113.45</v>
      </c>
    </row>
    <row r="68">
      <c r="A68" s="24" t="s">
        <v>173</v>
      </c>
      <c r="B68" s="26" t="s">
        <v>208</v>
      </c>
      <c r="C68" s="28"/>
      <c r="D68" s="28"/>
      <c r="E68" s="48"/>
      <c r="F68" s="33"/>
      <c r="G68" s="35">
        <v>46136.0</v>
      </c>
      <c r="H68" s="24" t="s">
        <v>27</v>
      </c>
      <c r="I68" s="126"/>
      <c r="J68" s="41">
        <v>-14123.0</v>
      </c>
      <c r="K68" s="49">
        <f t="shared" si="1"/>
        <v>62990.45</v>
      </c>
    </row>
    <row r="69">
      <c r="A69" s="59" t="s">
        <v>118</v>
      </c>
      <c r="B69" s="60" t="s">
        <v>209</v>
      </c>
      <c r="C69" s="28"/>
      <c r="D69" s="28"/>
      <c r="E69" s="61"/>
      <c r="F69" s="62"/>
      <c r="G69" s="35">
        <v>46142.0</v>
      </c>
      <c r="H69" s="24" t="s">
        <v>27</v>
      </c>
      <c r="I69" s="38"/>
      <c r="J69" s="41">
        <v>-4722.24</v>
      </c>
      <c r="K69" s="49">
        <f t="shared" si="1"/>
        <v>58268.21</v>
      </c>
    </row>
    <row r="70">
      <c r="A70" s="59" t="s">
        <v>118</v>
      </c>
      <c r="B70" s="60" t="s">
        <v>210</v>
      </c>
      <c r="C70" s="28"/>
      <c r="D70" s="28"/>
      <c r="E70" s="61"/>
      <c r="F70" s="62"/>
      <c r="G70" s="35">
        <v>46142.0</v>
      </c>
      <c r="H70" s="24" t="s">
        <v>27</v>
      </c>
      <c r="I70" s="38"/>
      <c r="J70" s="41">
        <v>-4722.24</v>
      </c>
      <c r="K70" s="49">
        <f t="shared" si="1"/>
        <v>53545.97</v>
      </c>
    </row>
    <row r="71">
      <c r="A71" s="59" t="s">
        <v>118</v>
      </c>
      <c r="B71" s="60" t="s">
        <v>211</v>
      </c>
      <c r="C71" s="28"/>
      <c r="D71" s="28"/>
      <c r="E71" s="61"/>
      <c r="F71" s="62"/>
      <c r="G71" s="35">
        <v>46142.0</v>
      </c>
      <c r="H71" s="24" t="s">
        <v>27</v>
      </c>
      <c r="I71" s="38"/>
      <c r="J71" s="41">
        <v>-3477.87</v>
      </c>
      <c r="K71" s="49">
        <f t="shared" si="1"/>
        <v>50068.1</v>
      </c>
    </row>
    <row r="72">
      <c r="A72" s="59" t="s">
        <v>118</v>
      </c>
      <c r="B72" s="60" t="s">
        <v>213</v>
      </c>
      <c r="C72" s="28"/>
      <c r="D72" s="28"/>
      <c r="E72" s="61"/>
      <c r="F72" s="62"/>
      <c r="G72" s="35">
        <v>46142.0</v>
      </c>
      <c r="H72" s="24" t="s">
        <v>27</v>
      </c>
      <c r="I72" s="126"/>
      <c r="J72" s="41">
        <v>-3477.87</v>
      </c>
      <c r="K72" s="49">
        <f t="shared" si="1"/>
        <v>46590.23</v>
      </c>
    </row>
    <row r="73">
      <c r="A73" s="59" t="s">
        <v>118</v>
      </c>
      <c r="B73" s="60" t="s">
        <v>215</v>
      </c>
      <c r="C73" s="28"/>
      <c r="D73" s="28"/>
      <c r="E73" s="61"/>
      <c r="F73" s="62"/>
      <c r="G73" s="35">
        <v>46142.0</v>
      </c>
      <c r="H73" s="24" t="s">
        <v>27</v>
      </c>
      <c r="I73" s="95" t="s">
        <v>62</v>
      </c>
      <c r="J73" s="41">
        <v>-5823.07</v>
      </c>
      <c r="K73" s="49">
        <f t="shared" si="1"/>
        <v>40767.16</v>
      </c>
    </row>
    <row r="74">
      <c r="A74" s="24" t="s">
        <v>168</v>
      </c>
      <c r="B74" s="26" t="s">
        <v>216</v>
      </c>
      <c r="C74" s="28"/>
      <c r="D74" s="28"/>
      <c r="E74" s="48"/>
      <c r="F74" s="33"/>
      <c r="G74" s="35">
        <v>46146.0</v>
      </c>
      <c r="H74" s="24" t="s">
        <v>27</v>
      </c>
      <c r="I74" s="95" t="s">
        <v>62</v>
      </c>
      <c r="J74" s="41">
        <v>-750.0</v>
      </c>
      <c r="K74" s="49">
        <f t="shared" si="1"/>
        <v>40017.16</v>
      </c>
    </row>
    <row r="75">
      <c r="A75" s="24" t="s">
        <v>48</v>
      </c>
      <c r="B75" s="26" t="s">
        <v>48</v>
      </c>
      <c r="C75" s="28"/>
      <c r="D75" s="28"/>
      <c r="E75" s="48"/>
      <c r="F75" s="33"/>
      <c r="G75" s="35">
        <v>46149.0</v>
      </c>
      <c r="H75" s="24" t="s">
        <v>27</v>
      </c>
      <c r="I75" s="95" t="s">
        <v>62</v>
      </c>
      <c r="J75" s="41">
        <v>467.86</v>
      </c>
      <c r="K75" s="49">
        <f t="shared" si="1"/>
        <v>40485.02</v>
      </c>
    </row>
    <row r="76">
      <c r="A76" s="24" t="s">
        <v>57</v>
      </c>
      <c r="B76" s="26" t="s">
        <v>95</v>
      </c>
      <c r="C76" s="28"/>
      <c r="D76" s="57">
        <v>3.0</v>
      </c>
      <c r="E76" s="30">
        <v>9.0</v>
      </c>
      <c r="F76" s="33">
        <v>12.0</v>
      </c>
      <c r="G76" s="35">
        <v>46153.0</v>
      </c>
      <c r="H76" s="24" t="s">
        <v>27</v>
      </c>
      <c r="I76" s="95" t="s">
        <v>62</v>
      </c>
      <c r="J76" s="41">
        <v>3281.87</v>
      </c>
      <c r="K76" s="49">
        <f t="shared" si="1"/>
        <v>43766.89</v>
      </c>
    </row>
    <row r="77">
      <c r="A77" s="24" t="s">
        <v>57</v>
      </c>
      <c r="B77" s="26" t="s">
        <v>80</v>
      </c>
      <c r="C77" s="28"/>
      <c r="D77" s="57">
        <v>4.0</v>
      </c>
      <c r="E77" s="30">
        <v>8.0</v>
      </c>
      <c r="F77" s="33">
        <v>12.0</v>
      </c>
      <c r="G77" s="35">
        <v>46153.0</v>
      </c>
      <c r="H77" s="24" t="s">
        <v>27</v>
      </c>
      <c r="I77" s="38"/>
      <c r="J77" s="41">
        <v>3281.87</v>
      </c>
      <c r="K77" s="49">
        <f t="shared" si="1"/>
        <v>47048.76</v>
      </c>
    </row>
    <row r="78">
      <c r="A78" s="24" t="s">
        <v>57</v>
      </c>
      <c r="B78" s="26" t="s">
        <v>150</v>
      </c>
      <c r="C78" s="28"/>
      <c r="D78" s="57">
        <v>5.0</v>
      </c>
      <c r="E78" s="30">
        <v>7.0</v>
      </c>
      <c r="F78" s="33">
        <v>12.0</v>
      </c>
      <c r="G78" s="35">
        <v>46153.0</v>
      </c>
      <c r="H78" s="24" t="s">
        <v>27</v>
      </c>
      <c r="I78" s="126"/>
      <c r="J78" s="41">
        <v>9025.14</v>
      </c>
      <c r="K78" s="49">
        <f t="shared" si="1"/>
        <v>56073.9</v>
      </c>
    </row>
    <row r="79">
      <c r="A79" s="24" t="s">
        <v>102</v>
      </c>
      <c r="B79" s="26" t="s">
        <v>103</v>
      </c>
      <c r="C79" s="28"/>
      <c r="D79" s="28"/>
      <c r="E79" s="48"/>
      <c r="F79" s="33"/>
      <c r="G79" s="35">
        <v>46153.0</v>
      </c>
      <c r="H79" s="24" t="s">
        <v>27</v>
      </c>
      <c r="I79" s="126"/>
      <c r="J79" s="41">
        <v>-8472.21</v>
      </c>
      <c r="K79" s="49">
        <f t="shared" si="1"/>
        <v>47601.69</v>
      </c>
    </row>
    <row r="80">
      <c r="A80" s="24" t="s">
        <v>105</v>
      </c>
      <c r="B80" s="26" t="s">
        <v>105</v>
      </c>
      <c r="C80" s="28"/>
      <c r="D80" s="28"/>
      <c r="E80" s="48"/>
      <c r="F80" s="33"/>
      <c r="G80" s="35">
        <v>46153.0</v>
      </c>
      <c r="H80" s="24" t="s">
        <v>27</v>
      </c>
      <c r="I80" s="38"/>
      <c r="J80" s="41">
        <v>-3847.36</v>
      </c>
      <c r="K80" s="49">
        <f t="shared" si="1"/>
        <v>43754.33</v>
      </c>
    </row>
    <row r="81">
      <c r="A81" s="24" t="s">
        <v>105</v>
      </c>
      <c r="B81" s="26" t="s">
        <v>219</v>
      </c>
      <c r="C81" s="28"/>
      <c r="D81" s="28"/>
      <c r="E81" s="48"/>
      <c r="F81" s="33"/>
      <c r="G81" s="35">
        <v>46153.0</v>
      </c>
      <c r="H81" s="24" t="s">
        <v>27</v>
      </c>
      <c r="I81" s="38"/>
      <c r="J81" s="41">
        <v>1748.8</v>
      </c>
      <c r="K81" s="49">
        <f t="shared" si="1"/>
        <v>45503.13</v>
      </c>
    </row>
    <row r="82">
      <c r="A82" s="24" t="s">
        <v>19</v>
      </c>
      <c r="B82" s="26" t="s">
        <v>202</v>
      </c>
      <c r="C82" s="28"/>
      <c r="D82" s="28"/>
      <c r="E82" s="48"/>
      <c r="F82" s="33"/>
      <c r="G82" s="35">
        <v>46153.0</v>
      </c>
      <c r="H82" s="24" t="s">
        <v>27</v>
      </c>
      <c r="I82" s="38"/>
      <c r="J82" s="41">
        <v>-3194.73</v>
      </c>
      <c r="K82" s="49">
        <f t="shared" si="1"/>
        <v>42308.4</v>
      </c>
    </row>
    <row r="83">
      <c r="A83" s="24" t="s">
        <v>205</v>
      </c>
      <c r="B83" s="26" t="s">
        <v>206</v>
      </c>
      <c r="C83" s="28"/>
      <c r="D83" s="28"/>
      <c r="E83" s="48"/>
      <c r="F83" s="33"/>
      <c r="G83" s="35">
        <v>46153.0</v>
      </c>
      <c r="H83" s="24" t="s">
        <v>27</v>
      </c>
      <c r="I83" s="56" t="s">
        <v>62</v>
      </c>
      <c r="J83" s="41">
        <v>-5000.0</v>
      </c>
      <c r="K83" s="49">
        <f t="shared" si="1"/>
        <v>37308.4</v>
      </c>
    </row>
    <row r="84">
      <c r="A84" s="24" t="s">
        <v>19</v>
      </c>
      <c r="B84" s="26" t="s">
        <v>221</v>
      </c>
      <c r="C84" s="28"/>
      <c r="D84" s="28"/>
      <c r="E84" s="48"/>
      <c r="F84" s="33"/>
      <c r="G84" s="35">
        <v>46153.0</v>
      </c>
      <c r="H84" s="24" t="s">
        <v>27</v>
      </c>
      <c r="I84" s="56" t="s">
        <v>62</v>
      </c>
      <c r="J84" s="41">
        <v>-3880.16</v>
      </c>
      <c r="K84" s="49">
        <f t="shared" si="1"/>
        <v>33428.24</v>
      </c>
    </row>
    <row r="85">
      <c r="A85" s="24" t="s">
        <v>168</v>
      </c>
      <c r="B85" s="26" t="s">
        <v>216</v>
      </c>
      <c r="C85" s="28"/>
      <c r="D85" s="28"/>
      <c r="E85" s="48"/>
      <c r="F85" s="33"/>
      <c r="G85" s="35">
        <v>46153.0</v>
      </c>
      <c r="H85" s="24" t="s">
        <v>27</v>
      </c>
      <c r="I85" s="56" t="s">
        <v>62</v>
      </c>
      <c r="J85" s="41">
        <v>-3000.0</v>
      </c>
      <c r="K85" s="49">
        <f t="shared" si="1"/>
        <v>30428.24</v>
      </c>
    </row>
    <row r="86">
      <c r="A86" s="24" t="s">
        <v>57</v>
      </c>
      <c r="B86" s="26" t="s">
        <v>86</v>
      </c>
      <c r="C86" s="28"/>
      <c r="D86" s="57">
        <v>4.0</v>
      </c>
      <c r="E86" s="30">
        <v>8.0</v>
      </c>
      <c r="F86" s="33">
        <v>12.0</v>
      </c>
      <c r="G86" s="35">
        <v>46154.0</v>
      </c>
      <c r="H86" s="24" t="s">
        <v>27</v>
      </c>
      <c r="I86" s="56" t="s">
        <v>62</v>
      </c>
      <c r="J86" s="41">
        <v>13300.21</v>
      </c>
      <c r="K86" s="49">
        <f t="shared" si="1"/>
        <v>43728.45</v>
      </c>
    </row>
    <row r="87">
      <c r="A87" s="24" t="s">
        <v>57</v>
      </c>
      <c r="B87" s="26" t="s">
        <v>66</v>
      </c>
      <c r="C87" s="28"/>
      <c r="D87" s="57">
        <v>5.0</v>
      </c>
      <c r="E87" s="30">
        <v>7.0</v>
      </c>
      <c r="F87" s="33">
        <v>12.0</v>
      </c>
      <c r="G87" s="35">
        <v>46155.0</v>
      </c>
      <c r="H87" s="24" t="s">
        <v>27</v>
      </c>
      <c r="I87" s="38"/>
      <c r="J87" s="41">
        <v>3281.87</v>
      </c>
      <c r="K87" s="49">
        <f t="shared" si="1"/>
        <v>47010.32</v>
      </c>
    </row>
    <row r="88">
      <c r="A88" s="24" t="s">
        <v>57</v>
      </c>
      <c r="B88" s="26" t="s">
        <v>95</v>
      </c>
      <c r="C88" s="28"/>
      <c r="D88" s="57">
        <v>4.0</v>
      </c>
      <c r="E88" s="30">
        <v>8.0</v>
      </c>
      <c r="F88" s="33">
        <v>12.0</v>
      </c>
      <c r="G88" s="35">
        <v>46161.0</v>
      </c>
      <c r="H88" s="24" t="s">
        <v>27</v>
      </c>
      <c r="I88" s="38"/>
      <c r="J88" s="41">
        <v>3281.87</v>
      </c>
      <c r="K88" s="49">
        <f t="shared" si="1"/>
        <v>50292.19</v>
      </c>
    </row>
    <row r="89">
      <c r="A89" s="24" t="s">
        <v>57</v>
      </c>
      <c r="B89" s="26" t="s">
        <v>151</v>
      </c>
      <c r="C89" s="28"/>
      <c r="D89" s="57">
        <v>3.0</v>
      </c>
      <c r="E89" s="30">
        <v>9.0</v>
      </c>
      <c r="F89" s="33">
        <v>12.0</v>
      </c>
      <c r="G89" s="35">
        <v>46161.0</v>
      </c>
      <c r="H89" s="24" t="s">
        <v>27</v>
      </c>
      <c r="I89" s="38"/>
      <c r="J89" s="41">
        <v>2461.4</v>
      </c>
      <c r="K89" s="49">
        <f t="shared" si="1"/>
        <v>52753.59</v>
      </c>
    </row>
    <row r="90">
      <c r="A90" s="24" t="s">
        <v>57</v>
      </c>
      <c r="B90" s="26" t="s">
        <v>151</v>
      </c>
      <c r="C90" s="28"/>
      <c r="D90" s="57">
        <v>4.0</v>
      </c>
      <c r="E90" s="30">
        <v>8.0</v>
      </c>
      <c r="F90" s="33">
        <v>12.0</v>
      </c>
      <c r="G90" s="35">
        <v>46161.0</v>
      </c>
      <c r="H90" s="24" t="s">
        <v>27</v>
      </c>
      <c r="I90" s="38"/>
      <c r="J90" s="41">
        <v>2461.4</v>
      </c>
      <c r="K90" s="49">
        <f t="shared" si="1"/>
        <v>55214.99</v>
      </c>
    </row>
    <row r="91">
      <c r="A91" s="24" t="s">
        <v>97</v>
      </c>
      <c r="B91" s="26" t="s">
        <v>99</v>
      </c>
      <c r="C91" s="28"/>
      <c r="D91" s="28"/>
      <c r="E91" s="48"/>
      <c r="F91" s="33"/>
      <c r="G91" s="35">
        <v>46162.0</v>
      </c>
      <c r="H91" s="24" t="s">
        <v>27</v>
      </c>
      <c r="I91" s="126"/>
      <c r="J91" s="41">
        <v>-482.87</v>
      </c>
      <c r="K91" s="49">
        <f t="shared" si="1"/>
        <v>54732.12</v>
      </c>
    </row>
    <row r="92">
      <c r="A92" s="24" t="s">
        <v>173</v>
      </c>
      <c r="B92" s="26" t="s">
        <v>224</v>
      </c>
      <c r="C92" s="28"/>
      <c r="D92" s="28"/>
      <c r="E92" s="48"/>
      <c r="F92" s="33"/>
      <c r="G92" s="35">
        <v>46164.0</v>
      </c>
      <c r="H92" s="24" t="s">
        <v>27</v>
      </c>
      <c r="I92" s="38"/>
      <c r="J92" s="41">
        <v>14123.0</v>
      </c>
      <c r="K92" s="49">
        <f t="shared" si="1"/>
        <v>68855.12</v>
      </c>
    </row>
    <row r="93">
      <c r="A93" s="24" t="s">
        <v>48</v>
      </c>
      <c r="B93" s="26" t="s">
        <v>48</v>
      </c>
      <c r="C93" s="28"/>
      <c r="D93" s="28"/>
      <c r="E93" s="48"/>
      <c r="F93" s="33"/>
      <c r="G93" s="35">
        <v>46164.0</v>
      </c>
      <c r="H93" s="24" t="s">
        <v>27</v>
      </c>
      <c r="I93" s="38"/>
      <c r="J93" s="41">
        <v>149.25</v>
      </c>
      <c r="K93" s="49">
        <f t="shared" si="1"/>
        <v>69004.37</v>
      </c>
    </row>
    <row r="94">
      <c r="A94" s="59" t="s">
        <v>118</v>
      </c>
      <c r="B94" s="60" t="s">
        <v>209</v>
      </c>
      <c r="C94" s="28"/>
      <c r="D94" s="28"/>
      <c r="E94" s="61"/>
      <c r="F94" s="62"/>
      <c r="G94" s="35">
        <v>46171.0</v>
      </c>
      <c r="H94" s="24" t="s">
        <v>27</v>
      </c>
      <c r="I94" s="38"/>
      <c r="J94" s="41">
        <v>-4722.24</v>
      </c>
      <c r="K94" s="49">
        <f t="shared" si="1"/>
        <v>64282.13</v>
      </c>
    </row>
    <row r="95">
      <c r="A95" s="59" t="s">
        <v>118</v>
      </c>
      <c r="B95" s="60" t="s">
        <v>210</v>
      </c>
      <c r="C95" s="28"/>
      <c r="D95" s="28"/>
      <c r="E95" s="61"/>
      <c r="F95" s="62"/>
      <c r="G95" s="35">
        <v>46171.0</v>
      </c>
      <c r="H95" s="24" t="s">
        <v>27</v>
      </c>
      <c r="I95" s="38"/>
      <c r="J95" s="41">
        <v>-4722.24</v>
      </c>
      <c r="K95" s="49">
        <f t="shared" si="1"/>
        <v>59559.89</v>
      </c>
    </row>
    <row r="96">
      <c r="A96" s="59" t="s">
        <v>118</v>
      </c>
      <c r="B96" s="60" t="s">
        <v>211</v>
      </c>
      <c r="C96" s="28"/>
      <c r="D96" s="28"/>
      <c r="E96" s="61"/>
      <c r="F96" s="62"/>
      <c r="G96" s="35">
        <v>46171.0</v>
      </c>
      <c r="H96" s="24" t="s">
        <v>27</v>
      </c>
      <c r="I96" s="126"/>
      <c r="J96" s="41">
        <v>-3477.87</v>
      </c>
      <c r="K96" s="49">
        <f t="shared" si="1"/>
        <v>56082.02</v>
      </c>
    </row>
    <row r="97">
      <c r="A97" s="59" t="s">
        <v>118</v>
      </c>
      <c r="B97" s="60" t="s">
        <v>213</v>
      </c>
      <c r="C97" s="28"/>
      <c r="D97" s="28"/>
      <c r="E97" s="61"/>
      <c r="F97" s="62"/>
      <c r="G97" s="35">
        <v>46171.0</v>
      </c>
      <c r="H97" s="24" t="s">
        <v>27</v>
      </c>
      <c r="I97" s="126"/>
      <c r="J97" s="41">
        <v>-3477.87</v>
      </c>
      <c r="K97" s="49">
        <f t="shared" si="1"/>
        <v>52604.15</v>
      </c>
    </row>
    <row r="98">
      <c r="A98" s="59" t="s">
        <v>118</v>
      </c>
      <c r="B98" s="60" t="s">
        <v>215</v>
      </c>
      <c r="C98" s="28"/>
      <c r="D98" s="28"/>
      <c r="E98" s="61"/>
      <c r="F98" s="62"/>
      <c r="G98" s="35">
        <v>46171.0</v>
      </c>
      <c r="H98" s="24" t="s">
        <v>27</v>
      </c>
      <c r="I98" s="126"/>
      <c r="J98" s="41">
        <v>-5823.07</v>
      </c>
      <c r="K98" s="49">
        <f t="shared" si="1"/>
        <v>46781.08</v>
      </c>
    </row>
    <row r="99">
      <c r="A99" s="24" t="s">
        <v>173</v>
      </c>
      <c r="B99" s="26" t="s">
        <v>224</v>
      </c>
      <c r="C99" s="28"/>
      <c r="D99" s="28"/>
      <c r="E99" s="48"/>
      <c r="F99" s="33"/>
      <c r="G99" s="35">
        <v>46174.0</v>
      </c>
      <c r="H99" s="24" t="s">
        <v>27</v>
      </c>
      <c r="I99" s="38"/>
      <c r="J99" s="41">
        <v>-14123.0</v>
      </c>
      <c r="K99" s="49">
        <f t="shared" si="1"/>
        <v>32658.08</v>
      </c>
    </row>
    <row r="100">
      <c r="A100" s="24" t="s">
        <v>57</v>
      </c>
      <c r="B100" s="26" t="s">
        <v>86</v>
      </c>
      <c r="C100" s="28"/>
      <c r="D100" s="57">
        <v>5.0</v>
      </c>
      <c r="E100" s="30">
        <v>7.0</v>
      </c>
      <c r="F100" s="33">
        <v>12.0</v>
      </c>
      <c r="G100" s="35">
        <v>46183.0</v>
      </c>
      <c r="H100" s="24" t="s">
        <v>27</v>
      </c>
      <c r="I100" s="38"/>
      <c r="J100" s="41">
        <v>13300.21</v>
      </c>
      <c r="K100" s="49">
        <f t="shared" si="1"/>
        <v>45958.29</v>
      </c>
    </row>
    <row r="101">
      <c r="A101" s="24" t="s">
        <v>57</v>
      </c>
      <c r="B101" s="26" t="s">
        <v>66</v>
      </c>
      <c r="C101" s="28"/>
      <c r="D101" s="57">
        <v>6.0</v>
      </c>
      <c r="E101" s="30">
        <v>6.0</v>
      </c>
      <c r="F101" s="33">
        <v>12.0</v>
      </c>
      <c r="G101" s="35">
        <v>46185.0</v>
      </c>
      <c r="H101" s="24" t="s">
        <v>27</v>
      </c>
      <c r="I101" s="38"/>
      <c r="J101" s="41">
        <v>3281.87</v>
      </c>
      <c r="K101" s="49">
        <f t="shared" si="1"/>
        <v>49240.16</v>
      </c>
    </row>
    <row r="102">
      <c r="A102" s="24" t="s">
        <v>57</v>
      </c>
      <c r="B102" s="26" t="s">
        <v>151</v>
      </c>
      <c r="C102" s="28"/>
      <c r="D102" s="57">
        <v>5.0</v>
      </c>
      <c r="E102" s="30">
        <v>7.0</v>
      </c>
      <c r="F102" s="33">
        <v>12.0</v>
      </c>
      <c r="G102" s="35">
        <v>46189.0</v>
      </c>
      <c r="H102" s="24" t="s">
        <v>27</v>
      </c>
      <c r="I102" s="38"/>
      <c r="J102" s="41">
        <v>2461.4</v>
      </c>
      <c r="K102" s="49">
        <f t="shared" si="1"/>
        <v>51701.56</v>
      </c>
    </row>
    <row r="103">
      <c r="A103" s="59" t="s">
        <v>118</v>
      </c>
      <c r="B103" s="60" t="s">
        <v>209</v>
      </c>
      <c r="C103" s="28"/>
      <c r="D103" s="28"/>
      <c r="E103" s="61"/>
      <c r="F103" s="62"/>
      <c r="G103" s="35">
        <v>46205.0</v>
      </c>
      <c r="H103" s="24" t="s">
        <v>27</v>
      </c>
      <c r="I103" s="38"/>
      <c r="J103" s="41">
        <v>-4722.24</v>
      </c>
      <c r="K103" s="49">
        <f t="shared" si="1"/>
        <v>46979.32</v>
      </c>
    </row>
    <row r="104">
      <c r="A104" s="59" t="s">
        <v>118</v>
      </c>
      <c r="B104" s="60" t="s">
        <v>210</v>
      </c>
      <c r="C104" s="28"/>
      <c r="D104" s="28"/>
      <c r="E104" s="61"/>
      <c r="F104" s="62"/>
      <c r="G104" s="35">
        <v>46205.0</v>
      </c>
      <c r="H104" s="24" t="s">
        <v>27</v>
      </c>
      <c r="I104" s="38"/>
      <c r="J104" s="41">
        <v>-4722.24</v>
      </c>
      <c r="K104" s="49">
        <f t="shared" si="1"/>
        <v>42257.08</v>
      </c>
    </row>
    <row r="105">
      <c r="A105" s="59" t="s">
        <v>118</v>
      </c>
      <c r="B105" s="60" t="s">
        <v>211</v>
      </c>
      <c r="C105" s="28"/>
      <c r="D105" s="28"/>
      <c r="E105" s="61"/>
      <c r="F105" s="62"/>
      <c r="G105" s="35">
        <v>46205.0</v>
      </c>
      <c r="H105" s="24" t="s">
        <v>27</v>
      </c>
      <c r="I105" s="38"/>
      <c r="J105" s="41">
        <v>-3477.87</v>
      </c>
      <c r="K105" s="49">
        <f t="shared" si="1"/>
        <v>38779.21</v>
      </c>
    </row>
    <row r="106">
      <c r="A106" s="59" t="s">
        <v>118</v>
      </c>
      <c r="B106" s="60" t="s">
        <v>213</v>
      </c>
      <c r="C106" s="28"/>
      <c r="D106" s="28"/>
      <c r="E106" s="61"/>
      <c r="F106" s="62"/>
      <c r="G106" s="35">
        <v>46205.0</v>
      </c>
      <c r="H106" s="24" t="s">
        <v>27</v>
      </c>
      <c r="I106" s="144"/>
      <c r="J106" s="41">
        <v>-3477.87</v>
      </c>
      <c r="K106" s="49">
        <f t="shared" si="1"/>
        <v>35301.34</v>
      </c>
    </row>
    <row r="107">
      <c r="A107" s="59" t="s">
        <v>118</v>
      </c>
      <c r="B107" s="60" t="s">
        <v>215</v>
      </c>
      <c r="C107" s="28"/>
      <c r="D107" s="28"/>
      <c r="E107" s="61"/>
      <c r="F107" s="62"/>
      <c r="G107" s="35">
        <v>46205.0</v>
      </c>
      <c r="H107" s="24" t="s">
        <v>27</v>
      </c>
      <c r="I107" s="144"/>
      <c r="J107" s="41">
        <v>-5823.07</v>
      </c>
      <c r="K107" s="49">
        <f t="shared" si="1"/>
        <v>29478.27</v>
      </c>
    </row>
    <row r="108">
      <c r="A108" s="59" t="s">
        <v>118</v>
      </c>
      <c r="B108" s="145" t="s">
        <v>230</v>
      </c>
      <c r="C108" s="28"/>
      <c r="D108" s="28"/>
      <c r="E108" s="146"/>
      <c r="F108" s="147"/>
      <c r="G108" s="35">
        <v>46205.0</v>
      </c>
      <c r="H108" s="24" t="s">
        <v>27</v>
      </c>
      <c r="I108" s="144"/>
      <c r="J108" s="41">
        <v>-2035.97</v>
      </c>
      <c r="K108" s="49">
        <f t="shared" si="1"/>
        <v>27442.3</v>
      </c>
    </row>
    <row r="109">
      <c r="A109" s="24" t="s">
        <v>19</v>
      </c>
      <c r="B109" s="26" t="s">
        <v>202</v>
      </c>
      <c r="C109" s="28"/>
      <c r="D109" s="28"/>
      <c r="E109" s="48"/>
      <c r="F109" s="33"/>
      <c r="G109" s="35">
        <v>46209.0</v>
      </c>
      <c r="H109" s="24" t="s">
        <v>27</v>
      </c>
      <c r="I109" s="144"/>
      <c r="J109" s="41">
        <v>-3194.73</v>
      </c>
      <c r="K109" s="49">
        <f t="shared" si="1"/>
        <v>24247.57</v>
      </c>
    </row>
    <row r="110">
      <c r="A110" s="24" t="s">
        <v>19</v>
      </c>
      <c r="B110" s="26" t="s">
        <v>232</v>
      </c>
      <c r="C110" s="28"/>
      <c r="D110" s="28"/>
      <c r="E110" s="48"/>
      <c r="F110" s="33"/>
      <c r="G110" s="35">
        <v>46209.0</v>
      </c>
      <c r="H110" s="24" t="s">
        <v>27</v>
      </c>
      <c r="I110" s="144"/>
      <c r="J110" s="41">
        <v>-3880.16</v>
      </c>
      <c r="K110" s="49">
        <f t="shared" si="1"/>
        <v>20367.41</v>
      </c>
    </row>
    <row r="111">
      <c r="A111" s="24" t="s">
        <v>105</v>
      </c>
      <c r="B111" s="26" t="s">
        <v>105</v>
      </c>
      <c r="C111" s="28"/>
      <c r="D111" s="28"/>
      <c r="E111" s="48"/>
      <c r="F111" s="33"/>
      <c r="G111" s="35">
        <v>46209.0</v>
      </c>
      <c r="H111" s="24" t="s">
        <v>27</v>
      </c>
      <c r="I111" s="144"/>
      <c r="J111" s="41">
        <v>-4254.84</v>
      </c>
      <c r="K111" s="49">
        <f t="shared" si="1"/>
        <v>16112.57</v>
      </c>
    </row>
    <row r="112">
      <c r="A112" s="149" t="s">
        <v>102</v>
      </c>
      <c r="B112" s="150" t="s">
        <v>103</v>
      </c>
      <c r="C112" s="28"/>
      <c r="D112" s="28"/>
      <c r="E112" s="151"/>
      <c r="F112" s="153"/>
      <c r="G112" s="154">
        <v>46209.0</v>
      </c>
      <c r="H112" s="24" t="s">
        <v>27</v>
      </c>
      <c r="I112" s="144"/>
      <c r="J112" s="41">
        <v>-16472.9</v>
      </c>
      <c r="K112" s="49">
        <f t="shared" si="1"/>
        <v>-360.33</v>
      </c>
    </row>
    <row r="113">
      <c r="A113" s="24" t="s">
        <v>105</v>
      </c>
      <c r="B113" s="26" t="s">
        <v>219</v>
      </c>
      <c r="C113" s="28"/>
      <c r="D113" s="28"/>
      <c r="E113" s="48"/>
      <c r="F113" s="33"/>
      <c r="G113" s="35">
        <v>46209.0</v>
      </c>
      <c r="H113" s="24" t="s">
        <v>27</v>
      </c>
      <c r="I113" s="144"/>
      <c r="J113" s="41">
        <v>1934.0</v>
      </c>
      <c r="K113" s="49">
        <f t="shared" si="1"/>
        <v>1573.67</v>
      </c>
    </row>
    <row r="114">
      <c r="A114" s="24" t="s">
        <v>102</v>
      </c>
      <c r="B114" s="26" t="s">
        <v>237</v>
      </c>
      <c r="C114" s="28"/>
      <c r="D114" s="28"/>
      <c r="E114" s="48"/>
      <c r="F114" s="33"/>
      <c r="G114" s="35">
        <v>46209.0</v>
      </c>
      <c r="H114" s="24" t="s">
        <v>27</v>
      </c>
      <c r="I114" s="144"/>
      <c r="J114" s="41">
        <v>7496.6</v>
      </c>
      <c r="K114" s="49">
        <f t="shared" si="1"/>
        <v>9070.27</v>
      </c>
    </row>
    <row r="115">
      <c r="A115" s="24" t="s">
        <v>57</v>
      </c>
      <c r="B115" s="26" t="s">
        <v>150</v>
      </c>
      <c r="C115" s="28"/>
      <c r="D115" s="57">
        <v>6.0</v>
      </c>
      <c r="E115" s="30">
        <v>6.0</v>
      </c>
      <c r="F115" s="33">
        <v>12.0</v>
      </c>
      <c r="G115" s="35">
        <v>46209.0</v>
      </c>
      <c r="H115" s="24" t="s">
        <v>27</v>
      </c>
      <c r="I115" s="144"/>
      <c r="J115" s="41">
        <v>9025.14</v>
      </c>
      <c r="K115" s="49">
        <f t="shared" si="1"/>
        <v>18095.41</v>
      </c>
    </row>
    <row r="116">
      <c r="A116" s="24" t="s">
        <v>57</v>
      </c>
      <c r="B116" s="26" t="s">
        <v>80</v>
      </c>
      <c r="C116" s="28"/>
      <c r="D116" s="57">
        <v>5.0</v>
      </c>
      <c r="E116" s="30">
        <v>7.0</v>
      </c>
      <c r="F116" s="33">
        <v>12.0</v>
      </c>
      <c r="G116" s="35">
        <v>46209.0</v>
      </c>
      <c r="H116" s="24" t="s">
        <v>27</v>
      </c>
      <c r="I116" s="144"/>
      <c r="J116" s="41">
        <v>3281.87</v>
      </c>
      <c r="K116" s="49">
        <f t="shared" si="1"/>
        <v>21377.28</v>
      </c>
    </row>
    <row r="117">
      <c r="A117" s="24" t="s">
        <v>97</v>
      </c>
      <c r="B117" s="26" t="s">
        <v>99</v>
      </c>
      <c r="C117" s="28"/>
      <c r="D117" s="28"/>
      <c r="E117" s="48"/>
      <c r="F117" s="33"/>
      <c r="G117" s="35">
        <v>46209.0</v>
      </c>
      <c r="H117" s="24" t="s">
        <v>27</v>
      </c>
      <c r="I117" s="144"/>
      <c r="J117" s="41">
        <v>-482.87</v>
      </c>
      <c r="K117" s="49">
        <f t="shared" si="1"/>
        <v>20894.41</v>
      </c>
    </row>
    <row r="118">
      <c r="A118" s="24" t="s">
        <v>191</v>
      </c>
      <c r="B118" s="26" t="s">
        <v>192</v>
      </c>
      <c r="C118" s="28"/>
      <c r="D118" s="28"/>
      <c r="E118" s="48"/>
      <c r="F118" s="33"/>
      <c r="G118" s="35">
        <v>46211.0</v>
      </c>
      <c r="H118" s="24" t="s">
        <v>27</v>
      </c>
      <c r="I118" s="144"/>
      <c r="J118" s="41">
        <v>-199.0</v>
      </c>
      <c r="K118" s="49">
        <f t="shared" si="1"/>
        <v>20695.41</v>
      </c>
    </row>
    <row r="119">
      <c r="A119" s="24" t="s">
        <v>191</v>
      </c>
      <c r="B119" s="26" t="s">
        <v>238</v>
      </c>
      <c r="C119" s="28"/>
      <c r="D119" s="28"/>
      <c r="E119" s="48"/>
      <c r="F119" s="33"/>
      <c r="G119" s="35">
        <v>46211.0</v>
      </c>
      <c r="H119" s="24" t="s">
        <v>27</v>
      </c>
      <c r="I119" s="144"/>
      <c r="J119" s="41">
        <v>-100.0</v>
      </c>
      <c r="K119" s="49">
        <f t="shared" si="1"/>
        <v>20595.41</v>
      </c>
    </row>
    <row r="120">
      <c r="A120" s="24" t="s">
        <v>57</v>
      </c>
      <c r="B120" s="26" t="s">
        <v>150</v>
      </c>
      <c r="C120" s="28"/>
      <c r="D120" s="57">
        <v>7.0</v>
      </c>
      <c r="E120" s="30">
        <v>5.0</v>
      </c>
      <c r="F120" s="33">
        <v>12.0</v>
      </c>
      <c r="G120" s="35">
        <v>46211.0</v>
      </c>
      <c r="H120" s="24" t="s">
        <v>27</v>
      </c>
      <c r="I120" s="144"/>
      <c r="J120" s="41">
        <v>9025.14</v>
      </c>
      <c r="K120" s="49">
        <f t="shared" si="1"/>
        <v>29620.55</v>
      </c>
    </row>
    <row r="121">
      <c r="A121" s="24" t="s">
        <v>19</v>
      </c>
      <c r="B121" s="26" t="s">
        <v>202</v>
      </c>
      <c r="C121" s="28"/>
      <c r="D121" s="28"/>
      <c r="E121" s="48"/>
      <c r="F121" s="33"/>
      <c r="G121" s="35">
        <v>46213.0</v>
      </c>
      <c r="H121" s="24" t="s">
        <v>27</v>
      </c>
      <c r="I121" s="144"/>
      <c r="J121" s="41">
        <v>-3194.73</v>
      </c>
      <c r="K121" s="49">
        <f t="shared" si="1"/>
        <v>26425.82</v>
      </c>
    </row>
    <row r="122">
      <c r="A122" s="24" t="s">
        <v>57</v>
      </c>
      <c r="B122" s="26" t="s">
        <v>80</v>
      </c>
      <c r="C122" s="28"/>
      <c r="D122" s="57">
        <v>6.0</v>
      </c>
      <c r="E122" s="30">
        <v>6.0</v>
      </c>
      <c r="F122" s="33">
        <v>12.0</v>
      </c>
      <c r="G122" s="35">
        <v>46213.0</v>
      </c>
      <c r="H122" s="24" t="s">
        <v>27</v>
      </c>
      <c r="I122" s="144"/>
      <c r="J122" s="41">
        <v>3281.87</v>
      </c>
      <c r="K122" s="49">
        <f t="shared" si="1"/>
        <v>29707.69</v>
      </c>
    </row>
    <row r="123">
      <c r="A123" s="24" t="s">
        <v>173</v>
      </c>
      <c r="B123" s="166" t="s">
        <v>243</v>
      </c>
      <c r="C123" s="28"/>
      <c r="D123" s="28"/>
      <c r="E123" s="48"/>
      <c r="F123" s="33"/>
      <c r="G123" s="35">
        <v>46226.0</v>
      </c>
      <c r="H123" s="24" t="s">
        <v>27</v>
      </c>
      <c r="I123" s="144"/>
      <c r="J123" s="41">
        <v>14214.6</v>
      </c>
      <c r="K123" s="49">
        <f t="shared" si="1"/>
        <v>43922.29</v>
      </c>
    </row>
    <row r="124">
      <c r="A124" s="24" t="s">
        <v>205</v>
      </c>
      <c r="B124" s="166" t="s">
        <v>206</v>
      </c>
      <c r="C124" s="167" t="s">
        <v>244</v>
      </c>
      <c r="D124" s="167"/>
      <c r="E124" s="48"/>
      <c r="F124" s="33"/>
      <c r="G124" s="35">
        <v>46226.0</v>
      </c>
      <c r="H124" s="24" t="s">
        <v>27</v>
      </c>
      <c r="I124" s="144"/>
      <c r="J124" s="41">
        <v>-12033.13</v>
      </c>
      <c r="K124" s="49">
        <f t="shared" si="1"/>
        <v>31889.16</v>
      </c>
    </row>
    <row r="125">
      <c r="A125" s="24" t="s">
        <v>105</v>
      </c>
      <c r="B125" s="168" t="s">
        <v>245</v>
      </c>
      <c r="C125" s="28"/>
      <c r="D125" s="28"/>
      <c r="E125" s="48"/>
      <c r="F125" s="33"/>
      <c r="G125" s="35">
        <v>46227.0</v>
      </c>
      <c r="H125" s="24" t="s">
        <v>27</v>
      </c>
      <c r="I125" s="144"/>
      <c r="J125" s="41">
        <v>1845.52</v>
      </c>
      <c r="K125" s="49">
        <f t="shared" si="1"/>
        <v>33734.68</v>
      </c>
    </row>
    <row r="126">
      <c r="A126" s="24" t="s">
        <v>105</v>
      </c>
      <c r="B126" s="168" t="s">
        <v>246</v>
      </c>
      <c r="C126" s="28"/>
      <c r="D126" s="28"/>
      <c r="E126" s="48"/>
      <c r="F126" s="33"/>
      <c r="G126" s="35">
        <v>46227.0</v>
      </c>
      <c r="H126" s="24" t="s">
        <v>27</v>
      </c>
      <c r="I126" s="144"/>
      <c r="J126" s="41">
        <v>-4246.78</v>
      </c>
      <c r="K126" s="49">
        <f t="shared" si="1"/>
        <v>29487.9</v>
      </c>
    </row>
    <row r="127">
      <c r="A127" s="24" t="s">
        <v>168</v>
      </c>
      <c r="B127" s="26" t="s">
        <v>247</v>
      </c>
      <c r="C127" s="28"/>
      <c r="D127" s="28"/>
      <c r="E127" s="48"/>
      <c r="F127" s="33"/>
      <c r="G127" s="35">
        <v>46227.0</v>
      </c>
      <c r="H127" s="24" t="s">
        <v>27</v>
      </c>
      <c r="I127" s="169" t="s">
        <v>62</v>
      </c>
      <c r="J127" s="41">
        <v>-250.0</v>
      </c>
      <c r="K127" s="49">
        <f t="shared" si="1"/>
        <v>29237.9</v>
      </c>
    </row>
    <row r="128">
      <c r="A128" s="24" t="s">
        <v>105</v>
      </c>
      <c r="B128" s="168" t="s">
        <v>248</v>
      </c>
      <c r="C128" s="28"/>
      <c r="D128" s="28"/>
      <c r="E128" s="48"/>
      <c r="F128" s="33"/>
      <c r="G128" s="35">
        <v>46227.0</v>
      </c>
      <c r="H128" s="24" t="s">
        <v>27</v>
      </c>
      <c r="I128" s="144"/>
      <c r="J128" s="41">
        <v>-2002.19</v>
      </c>
      <c r="K128" s="49">
        <f t="shared" si="1"/>
        <v>27235.71</v>
      </c>
    </row>
    <row r="129">
      <c r="A129" s="24" t="s">
        <v>102</v>
      </c>
      <c r="B129" s="168" t="s">
        <v>103</v>
      </c>
      <c r="C129" s="28"/>
      <c r="D129" s="28"/>
      <c r="E129" s="48"/>
      <c r="F129" s="33"/>
      <c r="G129" s="35">
        <v>46227.0</v>
      </c>
      <c r="H129" s="24" t="s">
        <v>27</v>
      </c>
      <c r="I129" s="144"/>
      <c r="J129" s="170">
        <v>7169.01</v>
      </c>
      <c r="K129" s="49">
        <f t="shared" si="1"/>
        <v>34404.72</v>
      </c>
    </row>
    <row r="130">
      <c r="A130" s="24" t="s">
        <v>102</v>
      </c>
      <c r="B130" s="168" t="s">
        <v>249</v>
      </c>
      <c r="C130" s="28"/>
      <c r="D130" s="28"/>
      <c r="E130" s="48"/>
      <c r="F130" s="33"/>
      <c r="G130" s="35">
        <v>46227.0</v>
      </c>
      <c r="H130" s="24" t="s">
        <v>27</v>
      </c>
      <c r="I130" s="144"/>
      <c r="J130" s="171">
        <v>-16422.72</v>
      </c>
      <c r="K130" s="49">
        <f t="shared" si="1"/>
        <v>17982</v>
      </c>
    </row>
    <row r="131">
      <c r="A131" s="24" t="s">
        <v>198</v>
      </c>
      <c r="B131" s="172" t="s">
        <v>198</v>
      </c>
      <c r="C131" s="28"/>
      <c r="D131" s="28"/>
      <c r="E131" s="48"/>
      <c r="F131" s="33"/>
      <c r="G131" s="35">
        <v>46227.0</v>
      </c>
      <c r="H131" s="24" t="s">
        <v>27</v>
      </c>
      <c r="I131" s="144"/>
      <c r="J131" s="41">
        <v>-72.62</v>
      </c>
      <c r="K131" s="49">
        <f t="shared" si="1"/>
        <v>17909.38</v>
      </c>
    </row>
    <row r="132">
      <c r="A132" s="24" t="s">
        <v>191</v>
      </c>
      <c r="B132" s="173" t="s">
        <v>250</v>
      </c>
      <c r="C132" s="28"/>
      <c r="D132" s="28"/>
      <c r="E132" s="48"/>
      <c r="F132" s="33"/>
      <c r="G132" s="35">
        <v>46230.0</v>
      </c>
      <c r="H132" s="24" t="s">
        <v>148</v>
      </c>
      <c r="I132" s="144"/>
      <c r="J132" s="174">
        <v>72.62</v>
      </c>
      <c r="K132" s="49">
        <f t="shared" si="1"/>
        <v>17982</v>
      </c>
    </row>
    <row r="133">
      <c r="A133" s="59" t="s">
        <v>118</v>
      </c>
      <c r="B133" s="60" t="s">
        <v>209</v>
      </c>
      <c r="C133" s="28"/>
      <c r="D133" s="28"/>
      <c r="E133" s="61"/>
      <c r="F133" s="62"/>
      <c r="G133" s="35">
        <v>46238.0</v>
      </c>
      <c r="H133" s="24" t="s">
        <v>27</v>
      </c>
      <c r="I133" s="144"/>
      <c r="J133" s="41">
        <v>-4722.24</v>
      </c>
      <c r="K133" s="49">
        <f t="shared" si="1"/>
        <v>13259.76</v>
      </c>
    </row>
    <row r="134">
      <c r="A134" s="59" t="s">
        <v>118</v>
      </c>
      <c r="B134" s="60" t="s">
        <v>210</v>
      </c>
      <c r="C134" s="28"/>
      <c r="D134" s="28"/>
      <c r="E134" s="61"/>
      <c r="F134" s="62"/>
      <c r="G134" s="35">
        <v>46238.0</v>
      </c>
      <c r="H134" s="24" t="s">
        <v>27</v>
      </c>
      <c r="I134" s="144"/>
      <c r="J134" s="41">
        <v>-4722.24</v>
      </c>
      <c r="K134" s="49">
        <f t="shared" si="1"/>
        <v>8537.52</v>
      </c>
    </row>
    <row r="135">
      <c r="A135" s="59" t="s">
        <v>118</v>
      </c>
      <c r="B135" s="60" t="s">
        <v>213</v>
      </c>
      <c r="C135" s="28"/>
      <c r="D135" s="28"/>
      <c r="E135" s="61"/>
      <c r="F135" s="62"/>
      <c r="G135" s="35">
        <v>46238.0</v>
      </c>
      <c r="H135" s="24" t="s">
        <v>27</v>
      </c>
      <c r="I135" s="144"/>
      <c r="J135" s="41">
        <v>-3477.87</v>
      </c>
      <c r="K135" s="49">
        <f t="shared" si="1"/>
        <v>5059.65</v>
      </c>
    </row>
    <row r="136">
      <c r="A136" s="59" t="s">
        <v>118</v>
      </c>
      <c r="B136" s="60" t="s">
        <v>215</v>
      </c>
      <c r="C136" s="28"/>
      <c r="D136" s="28"/>
      <c r="E136" s="61"/>
      <c r="F136" s="62"/>
      <c r="G136" s="35">
        <v>46238.0</v>
      </c>
      <c r="H136" s="24" t="s">
        <v>27</v>
      </c>
      <c r="I136" s="144"/>
      <c r="J136" s="41">
        <v>-5823.07</v>
      </c>
      <c r="K136" s="49">
        <f t="shared" si="1"/>
        <v>-763.42</v>
      </c>
    </row>
    <row r="137">
      <c r="A137" s="59" t="s">
        <v>118</v>
      </c>
      <c r="B137" s="145" t="s">
        <v>230</v>
      </c>
      <c r="C137" s="28"/>
      <c r="D137" s="28"/>
      <c r="E137" s="146"/>
      <c r="F137" s="147"/>
      <c r="G137" s="35">
        <v>46238.0</v>
      </c>
      <c r="H137" s="24" t="s">
        <v>27</v>
      </c>
      <c r="I137" s="144"/>
      <c r="J137" s="41">
        <v>-4549.4</v>
      </c>
      <c r="K137" s="49">
        <f t="shared" si="1"/>
        <v>-5312.82</v>
      </c>
    </row>
    <row r="138">
      <c r="A138" s="24" t="s">
        <v>19</v>
      </c>
      <c r="B138" s="26" t="s">
        <v>232</v>
      </c>
      <c r="C138" s="28"/>
      <c r="D138" s="28"/>
      <c r="E138" s="48"/>
      <c r="F138" s="33"/>
      <c r="G138" s="35">
        <v>46238.0</v>
      </c>
      <c r="H138" s="24" t="s">
        <v>148</v>
      </c>
      <c r="I138" s="144"/>
      <c r="J138" s="41">
        <v>-3880.16</v>
      </c>
      <c r="K138" s="49">
        <f t="shared" si="1"/>
        <v>-9192.98</v>
      </c>
    </row>
    <row r="139">
      <c r="A139" s="24" t="s">
        <v>97</v>
      </c>
      <c r="B139" s="26" t="s">
        <v>99</v>
      </c>
      <c r="C139" s="28"/>
      <c r="D139" s="28"/>
      <c r="E139" s="48"/>
      <c r="F139" s="33"/>
      <c r="G139" s="35">
        <v>46238.0</v>
      </c>
      <c r="H139" s="24" t="s">
        <v>148</v>
      </c>
      <c r="I139" s="144"/>
      <c r="J139" s="41">
        <v>-482.87</v>
      </c>
      <c r="K139" s="49">
        <f t="shared" si="1"/>
        <v>-9675.85</v>
      </c>
    </row>
    <row r="140">
      <c r="A140" s="175" t="s">
        <v>205</v>
      </c>
      <c r="B140" s="176" t="s">
        <v>242</v>
      </c>
      <c r="C140" s="177"/>
      <c r="D140" s="177"/>
      <c r="E140" s="178"/>
      <c r="F140" s="179"/>
      <c r="G140" s="180">
        <v>46238.0</v>
      </c>
      <c r="H140" s="175" t="s">
        <v>27</v>
      </c>
      <c r="I140" s="181"/>
      <c r="J140" s="170">
        <v>13460.0</v>
      </c>
      <c r="K140" s="165">
        <f t="shared" si="1"/>
        <v>3784.15</v>
      </c>
    </row>
    <row r="141">
      <c r="E141" s="1"/>
      <c r="F141" s="1"/>
      <c r="G141" s="2"/>
    </row>
    <row r="142">
      <c r="E142" s="1"/>
      <c r="F142" s="1"/>
      <c r="G142" s="2"/>
    </row>
    <row r="143">
      <c r="E143" s="1"/>
      <c r="F143" s="1"/>
      <c r="G143" s="2"/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</sheetData>
  <conditionalFormatting sqref="J3:J140">
    <cfRule type="expression" dxfId="10" priority="1">
      <formula>$J3&gt;0</formula>
    </cfRule>
  </conditionalFormatting>
  <conditionalFormatting sqref="J3:J140">
    <cfRule type="expression" dxfId="11" priority="2">
      <formula>$J3&lt;0</formula>
    </cfRule>
  </conditionalFormatting>
  <conditionalFormatting sqref="A3:H140">
    <cfRule type="expression" dxfId="12" priority="3">
      <formula>$K3=0</formula>
    </cfRule>
  </conditionalFormatting>
  <conditionalFormatting sqref="A3:H140">
    <cfRule type="expression" dxfId="13" priority="4">
      <formula>$A3="Rateio Municipal"</formula>
    </cfRule>
  </conditionalFormatting>
  <conditionalFormatting sqref="A3:H140">
    <cfRule type="expression" dxfId="14" priority="5">
      <formula>$A3= "Juros e Aplicações"</formula>
    </cfRule>
  </conditionalFormatting>
  <conditionalFormatting sqref="A3:H140">
    <cfRule type="expression" dxfId="15" priority="6">
      <formula>$A3 = "Folha de Pagamento"</formula>
    </cfRule>
  </conditionalFormatting>
  <conditionalFormatting sqref="A3:H140">
    <cfRule type="expression" dxfId="16" priority="7">
      <formula>$A3 = "Aporte CIMMVI/AMVI"</formula>
    </cfRule>
  </conditionalFormatting>
  <conditionalFormatting sqref="A3:H140">
    <cfRule type="expression" dxfId="17" priority="8">
      <formula>$A3 = "Reembolso"</formula>
    </cfRule>
  </conditionalFormatting>
  <conditionalFormatting sqref="A3:H140">
    <cfRule type="expression" dxfId="18" priority="9">
      <formula> $A3= "Diária"</formula>
    </cfRule>
  </conditionalFormatting>
  <conditionalFormatting sqref="A3:H140">
    <cfRule type="expression" dxfId="19" priority="10">
      <formula> $A3 = "Serviços"</formula>
    </cfRule>
  </conditionalFormatting>
  <conditionalFormatting sqref="A3:H140">
    <cfRule type="expression" dxfId="20" priority="11">
      <formula>$A3 = "Licenciamento Ambiental"</formula>
    </cfRule>
  </conditionalFormatting>
  <conditionalFormatting sqref="A3:H140">
    <cfRule type="expression" dxfId="21" priority="12">
      <formula> $A3 = "FGTS"</formula>
    </cfRule>
  </conditionalFormatting>
  <conditionalFormatting sqref="A3:H140">
    <cfRule type="expression" dxfId="22" priority="13">
      <formula> $A3 = "Taxas Associativas"</formula>
    </cfRule>
  </conditionalFormatting>
  <conditionalFormatting sqref="A3:H140">
    <cfRule type="expression" dxfId="23" priority="14">
      <formula> $A3 = "Encargos Trabalhistas"</formula>
    </cfRule>
  </conditionalFormatting>
  <conditionalFormatting sqref="A3:G105 H3:H140 I3:I105">
    <cfRule type="expression" dxfId="24" priority="15">
      <formula>$A3 = "Saldo inicial"</formula>
    </cfRule>
  </conditionalFormatting>
  <conditionalFormatting sqref="A3:G105 H3:H140 I3:I105">
    <cfRule type="expression" dxfId="25" priority="16">
      <formula>$A3 = "Juros e Aplicações"</formula>
    </cfRule>
  </conditionalFormatting>
  <conditionalFormatting sqref="A3:G105 H3:H140 I3:I105">
    <cfRule type="expression" dxfId="26" priority="17">
      <formula>$A3 = "Rateio Municipal"</formula>
    </cfRule>
  </conditionalFormatting>
  <conditionalFormatting sqref="A3:G105 H3:H140 I3:I105">
    <cfRule type="expression" dxfId="27" priority="18">
      <formula>$A3 = "Encargos Trabalhistas"</formula>
    </cfRule>
  </conditionalFormatting>
  <conditionalFormatting sqref="A3:G105 H3:H140 I3:I105">
    <cfRule type="expression" dxfId="28" priority="19">
      <formula>$A3 = "FGTS"</formula>
    </cfRule>
  </conditionalFormatting>
  <conditionalFormatting sqref="A3:G105 H3:H140 I3:I105">
    <cfRule type="expression" dxfId="29" priority="20">
      <formula>$A3 = "Topografia"</formula>
    </cfRule>
  </conditionalFormatting>
  <conditionalFormatting sqref="A3:G105 H3:H140 I3:I105">
    <cfRule type="expression" dxfId="30" priority="21">
      <formula>$A3 = "Folha de Pagamento"</formula>
    </cfRule>
  </conditionalFormatting>
  <conditionalFormatting sqref="A3:G105 H3:H140 I3:I105">
    <cfRule type="expression" dxfId="31" priority="22">
      <formula>$A3 = "Devolução"</formula>
    </cfRule>
  </conditionalFormatting>
  <conditionalFormatting sqref="A3:G105 H3:H140 I3:I105">
    <cfRule type="expression" dxfId="32" priority="23">
      <formula>$A3 = "Rateio (transferência errada)"</formula>
    </cfRule>
  </conditionalFormatting>
  <conditionalFormatting sqref="A3:G105 H3:H140 I3:I105">
    <cfRule type="expression" dxfId="33" priority="24">
      <formula>$A3 = "Licenciamento Ambiental"</formula>
    </cfRule>
  </conditionalFormatting>
  <conditionalFormatting sqref="B40">
    <cfRule type="notContainsBlanks" dxfId="34" priority="25">
      <formula>LEN(TRIM(B40))&gt;0</formula>
    </cfRule>
  </conditionalFormatting>
  <conditionalFormatting sqref="A3:G105 H3:H140 I3:I105">
    <cfRule type="expression" dxfId="35" priority="26">
      <formula>$A3 = "Diária"</formula>
    </cfRule>
  </conditionalFormatting>
  <conditionalFormatting sqref="J3:J105">
    <cfRule type="expression" dxfId="36" priority="27">
      <formula>$J3 &gt;0</formula>
    </cfRule>
  </conditionalFormatting>
  <conditionalFormatting sqref="J3:J105">
    <cfRule type="expression" dxfId="37" priority="28">
      <formula>$J3 &lt; 0</formula>
    </cfRule>
  </conditionalFormatting>
  <conditionalFormatting sqref="K3:K140">
    <cfRule type="cellIs" dxfId="38" priority="29" operator="greaterThan">
      <formula>0</formula>
    </cfRule>
  </conditionalFormatting>
  <conditionalFormatting sqref="K3:K140">
    <cfRule type="cellIs" dxfId="39" priority="30" operator="lessThan">
      <formula>0</formula>
    </cfRule>
  </conditionalFormatting>
  <conditionalFormatting sqref="A2:I1005">
    <cfRule type="expression" dxfId="40" priority="31">
      <formula> $A2 = "DARF PASEP"</formula>
    </cfRule>
  </conditionalFormatting>
  <dataValidations>
    <dataValidation type="list" allowBlank="1" sqref="A3:A140">
      <formula1>"Saldo inicial,Juros e Aplicações,Rateio Municipal,Encargos Trabalhistas,FGTS,Folha de Pagamento,Topografia,Devolução,Rateio (transferência errada),Licenciamento Ambiental,Diária,Taxas Associativas,Serviços,Reembolso,DARF PASEP,Aporte CIMMVI/AMVI"</formula1>
    </dataValidation>
    <dataValidation type="list" allowBlank="1" sqref="I3:I140">
      <formula1>"Pix,Boleto,Não consta"</formula1>
    </dataValidation>
    <dataValidation type="custom" allowBlank="1" showDropDown="1" sqref="F3:F140">
      <formula1>AND(ISNUMBER(F3),(NOT(OR(NOT(ISERROR(DATEVALUE(F3))), AND(ISNUMBER(F3), LEFT(CELL("format", F3))="D")))))</formula1>
    </dataValidation>
    <dataValidation type="list" allowBlank="1" sqref="H3:H140">
      <formula1>"Pago,Aguardando Aprovação,Em aberto,Aprovado - Aguardando Pagamento,Pagamento Realizado - Aguardando autorização Margarete"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3" t="s">
        <v>0</v>
      </c>
      <c r="B1" s="3" t="s">
        <v>1</v>
      </c>
      <c r="C1" s="3" t="s">
        <v>3</v>
      </c>
      <c r="D1" s="18" t="s">
        <v>10</v>
      </c>
      <c r="E1" s="3" t="s">
        <v>12</v>
      </c>
      <c r="F1" s="3" t="s">
        <v>14</v>
      </c>
      <c r="G1" s="17" t="s">
        <v>16</v>
      </c>
      <c r="H1" s="21" t="s">
        <v>17</v>
      </c>
      <c r="I1" s="19"/>
    </row>
    <row r="2">
      <c r="A2" s="31" t="s">
        <v>20</v>
      </c>
      <c r="B2" s="34" t="s">
        <v>32</v>
      </c>
      <c r="C2" s="36"/>
      <c r="D2" s="39">
        <v>46054.0</v>
      </c>
      <c r="E2" s="42" t="s">
        <v>27</v>
      </c>
      <c r="F2" s="38"/>
      <c r="G2" s="43">
        <v>425582.51</v>
      </c>
      <c r="H2" s="44">
        <f>G2</f>
        <v>425582.51</v>
      </c>
      <c r="I2" s="19"/>
    </row>
    <row r="3">
      <c r="A3" s="31" t="s">
        <v>48</v>
      </c>
      <c r="B3" s="34" t="s">
        <v>48</v>
      </c>
      <c r="C3" s="47"/>
      <c r="D3" s="39">
        <v>46058.0</v>
      </c>
      <c r="E3" s="42" t="s">
        <v>27</v>
      </c>
      <c r="F3" s="38"/>
      <c r="G3" s="43">
        <v>384.26</v>
      </c>
      <c r="H3" s="49">
        <f t="shared" ref="H3:H1107" si="1">H2+G3</f>
        <v>425966.77</v>
      </c>
      <c r="I3" s="19"/>
    </row>
    <row r="4">
      <c r="A4" s="50" t="s">
        <v>57</v>
      </c>
      <c r="B4" s="51" t="s">
        <v>60</v>
      </c>
      <c r="C4" s="52" t="s">
        <v>61</v>
      </c>
      <c r="D4" s="53">
        <v>46059.0</v>
      </c>
      <c r="E4" s="42" t="s">
        <v>27</v>
      </c>
      <c r="F4" s="31" t="s">
        <v>62</v>
      </c>
      <c r="G4" s="43">
        <v>6563.74</v>
      </c>
      <c r="H4" s="49">
        <f t="shared" si="1"/>
        <v>432530.51</v>
      </c>
      <c r="I4" s="19"/>
    </row>
    <row r="5">
      <c r="A5" s="50" t="s">
        <v>57</v>
      </c>
      <c r="B5" s="54" t="s">
        <v>60</v>
      </c>
      <c r="C5" s="55"/>
      <c r="D5" s="53">
        <v>46059.0</v>
      </c>
      <c r="E5" s="42" t="s">
        <v>27</v>
      </c>
      <c r="F5" s="56" t="s">
        <v>62</v>
      </c>
      <c r="G5" s="43">
        <v>-6563.74</v>
      </c>
      <c r="H5" s="49">
        <f t="shared" si="1"/>
        <v>425966.77</v>
      </c>
      <c r="I5" s="19"/>
    </row>
    <row r="6">
      <c r="A6" s="50" t="s">
        <v>48</v>
      </c>
      <c r="B6" s="58" t="s">
        <v>48</v>
      </c>
      <c r="C6" s="55"/>
      <c r="D6" s="53">
        <v>46059.0</v>
      </c>
      <c r="E6" s="42" t="s">
        <v>27</v>
      </c>
      <c r="F6" s="38"/>
      <c r="G6" s="43">
        <v>192.26</v>
      </c>
      <c r="H6" s="49">
        <f t="shared" si="1"/>
        <v>426159.03</v>
      </c>
      <c r="I6" s="19"/>
    </row>
    <row r="7">
      <c r="A7" s="31" t="s">
        <v>48</v>
      </c>
      <c r="B7" s="58" t="s">
        <v>48</v>
      </c>
      <c r="C7" s="47"/>
      <c r="D7" s="39">
        <v>46062.0</v>
      </c>
      <c r="E7" s="42" t="s">
        <v>27</v>
      </c>
      <c r="F7" s="38"/>
      <c r="G7" s="43">
        <v>383.12</v>
      </c>
      <c r="H7" s="49">
        <f t="shared" si="1"/>
        <v>426542.15</v>
      </c>
      <c r="I7" s="19"/>
    </row>
    <row r="8">
      <c r="A8" s="50" t="s">
        <v>48</v>
      </c>
      <c r="B8" s="58" t="s">
        <v>48</v>
      </c>
      <c r="C8" s="55"/>
      <c r="D8" s="53">
        <v>46063.0</v>
      </c>
      <c r="E8" s="42" t="s">
        <v>27</v>
      </c>
      <c r="F8" s="38"/>
      <c r="G8" s="43">
        <v>192.61</v>
      </c>
      <c r="H8" s="49">
        <f t="shared" si="1"/>
        <v>426734.76</v>
      </c>
      <c r="I8" s="40"/>
    </row>
    <row r="9">
      <c r="A9" s="50" t="s">
        <v>57</v>
      </c>
      <c r="B9" s="51" t="s">
        <v>85</v>
      </c>
      <c r="C9" s="70"/>
      <c r="D9" s="53">
        <v>46063.0</v>
      </c>
      <c r="E9" s="42" t="s">
        <v>27</v>
      </c>
      <c r="F9" s="31" t="s">
        <v>62</v>
      </c>
      <c r="G9" s="43">
        <v>3281.87</v>
      </c>
      <c r="H9" s="49">
        <f t="shared" si="1"/>
        <v>430016.63</v>
      </c>
      <c r="I9" s="19"/>
    </row>
    <row r="10">
      <c r="A10" s="50" t="s">
        <v>57</v>
      </c>
      <c r="B10" s="54" t="s">
        <v>89</v>
      </c>
      <c r="C10" s="55"/>
      <c r="D10" s="53">
        <v>46063.0</v>
      </c>
      <c r="E10" s="42" t="s">
        <v>27</v>
      </c>
      <c r="F10" s="56" t="s">
        <v>62</v>
      </c>
      <c r="G10" s="43">
        <v>-3281.87</v>
      </c>
      <c r="H10" s="49">
        <f t="shared" si="1"/>
        <v>426734.76</v>
      </c>
      <c r="I10" s="19"/>
    </row>
    <row r="11">
      <c r="A11" s="31" t="s">
        <v>57</v>
      </c>
      <c r="B11" s="58" t="s">
        <v>93</v>
      </c>
      <c r="C11" s="47"/>
      <c r="D11" s="39">
        <v>46072.0</v>
      </c>
      <c r="E11" s="42" t="s">
        <v>27</v>
      </c>
      <c r="F11" s="56" t="s">
        <v>62</v>
      </c>
      <c r="G11" s="43">
        <v>3281.87</v>
      </c>
      <c r="H11" s="49">
        <f t="shared" si="1"/>
        <v>430016.63</v>
      </c>
      <c r="I11" s="19"/>
    </row>
    <row r="12">
      <c r="A12" s="31" t="s">
        <v>57</v>
      </c>
      <c r="B12" s="81" t="s">
        <v>98</v>
      </c>
      <c r="C12" s="47"/>
      <c r="D12" s="39">
        <v>46072.0</v>
      </c>
      <c r="E12" s="42" t="s">
        <v>27</v>
      </c>
      <c r="F12" s="56" t="s">
        <v>62</v>
      </c>
      <c r="G12" s="43">
        <v>-3281.87</v>
      </c>
      <c r="H12" s="49">
        <f t="shared" si="1"/>
        <v>426734.76</v>
      </c>
      <c r="I12" s="19"/>
    </row>
    <row r="13">
      <c r="A13" s="50" t="s">
        <v>102</v>
      </c>
      <c r="B13" s="81" t="s">
        <v>103</v>
      </c>
      <c r="C13" s="70"/>
      <c r="D13" s="53">
        <v>46073.0</v>
      </c>
      <c r="E13" s="42" t="s">
        <v>27</v>
      </c>
      <c r="F13" s="80"/>
      <c r="G13" s="43">
        <v>-6780.4</v>
      </c>
      <c r="H13" s="49">
        <f t="shared" si="1"/>
        <v>419954.36</v>
      </c>
      <c r="I13" s="40"/>
    </row>
    <row r="14">
      <c r="A14" s="50" t="s">
        <v>105</v>
      </c>
      <c r="B14" s="81" t="s">
        <v>106</v>
      </c>
      <c r="C14" s="70"/>
      <c r="D14" s="53">
        <v>46073.0</v>
      </c>
      <c r="E14" s="42" t="s">
        <v>27</v>
      </c>
      <c r="F14" s="80"/>
      <c r="G14" s="43">
        <v>-1683.2</v>
      </c>
      <c r="H14" s="49">
        <f t="shared" si="1"/>
        <v>418271.16</v>
      </c>
      <c r="I14" s="19"/>
    </row>
    <row r="15">
      <c r="A15" s="50" t="s">
        <v>109</v>
      </c>
      <c r="B15" s="58" t="s">
        <v>110</v>
      </c>
      <c r="C15" s="55"/>
      <c r="D15" s="53">
        <v>46077.0</v>
      </c>
      <c r="E15" s="42" t="s">
        <v>27</v>
      </c>
      <c r="F15" s="38"/>
      <c r="G15" s="43">
        <v>36712.56</v>
      </c>
      <c r="H15" s="49">
        <f t="shared" si="1"/>
        <v>454983.72</v>
      </c>
      <c r="I15" s="19"/>
      <c r="J15" s="19"/>
    </row>
    <row r="16">
      <c r="A16" s="50" t="s">
        <v>48</v>
      </c>
      <c r="B16" s="58" t="s">
        <v>48</v>
      </c>
      <c r="C16" s="55"/>
      <c r="D16" s="53">
        <v>46079.0</v>
      </c>
      <c r="E16" s="42" t="s">
        <v>27</v>
      </c>
      <c r="F16" s="38"/>
      <c r="G16" s="43">
        <v>1655.51</v>
      </c>
      <c r="H16" s="49">
        <f t="shared" si="1"/>
        <v>456639.23</v>
      </c>
      <c r="I16" s="19"/>
      <c r="J16" s="19"/>
    </row>
    <row r="17">
      <c r="A17" s="89" t="s">
        <v>118</v>
      </c>
      <c r="B17" s="90" t="s">
        <v>119</v>
      </c>
      <c r="C17" s="91" t="s">
        <v>120</v>
      </c>
      <c r="D17" s="39">
        <v>46080.0</v>
      </c>
      <c r="E17" s="42" t="s">
        <v>27</v>
      </c>
      <c r="F17" s="56" t="s">
        <v>62</v>
      </c>
      <c r="G17" s="43">
        <v>-4814.87</v>
      </c>
      <c r="H17" s="49">
        <f t="shared" si="1"/>
        <v>451824.36</v>
      </c>
      <c r="I17" s="19"/>
      <c r="J17" s="19"/>
    </row>
    <row r="18">
      <c r="A18" s="89" t="s">
        <v>118</v>
      </c>
      <c r="B18" s="93" t="s">
        <v>125</v>
      </c>
      <c r="C18" s="91" t="s">
        <v>126</v>
      </c>
      <c r="D18" s="39">
        <v>46080.0</v>
      </c>
      <c r="E18" s="42" t="s">
        <v>27</v>
      </c>
      <c r="F18" s="56" t="s">
        <v>62</v>
      </c>
      <c r="G18" s="43">
        <v>-4814.87</v>
      </c>
      <c r="H18" s="49">
        <f t="shared" si="1"/>
        <v>447009.49</v>
      </c>
      <c r="I18" s="19"/>
      <c r="J18" s="19"/>
    </row>
    <row r="19">
      <c r="A19" s="89" t="s">
        <v>118</v>
      </c>
      <c r="B19" s="93" t="s">
        <v>132</v>
      </c>
      <c r="C19" s="98" t="s">
        <v>135</v>
      </c>
      <c r="D19" s="39">
        <v>46080.0</v>
      </c>
      <c r="E19" s="42" t="s">
        <v>27</v>
      </c>
      <c r="F19" s="56" t="s">
        <v>62</v>
      </c>
      <c r="G19" s="43">
        <v>-4814.87</v>
      </c>
      <c r="H19" s="49">
        <f t="shared" si="1"/>
        <v>442194.62</v>
      </c>
      <c r="I19" s="19"/>
      <c r="J19" s="19"/>
    </row>
    <row r="20">
      <c r="A20" s="31" t="s">
        <v>57</v>
      </c>
      <c r="B20" s="58" t="s">
        <v>139</v>
      </c>
      <c r="C20" s="47"/>
      <c r="D20" s="39">
        <v>46080.0</v>
      </c>
      <c r="E20" s="42" t="s">
        <v>27</v>
      </c>
      <c r="F20" s="56" t="s">
        <v>62</v>
      </c>
      <c r="G20" s="43">
        <v>18050.28</v>
      </c>
      <c r="H20" s="49">
        <f t="shared" si="1"/>
        <v>460244.9</v>
      </c>
      <c r="I20" s="19"/>
      <c r="J20" s="19"/>
    </row>
    <row r="21">
      <c r="A21" s="50" t="s">
        <v>57</v>
      </c>
      <c r="B21" s="81" t="s">
        <v>143</v>
      </c>
      <c r="C21" s="106" t="s">
        <v>144</v>
      </c>
      <c r="D21" s="107">
        <v>46085.0</v>
      </c>
      <c r="E21" s="42" t="s">
        <v>27</v>
      </c>
      <c r="F21" s="95" t="s">
        <v>62</v>
      </c>
      <c r="G21" s="43">
        <v>-18050.28</v>
      </c>
      <c r="H21" s="49">
        <f t="shared" si="1"/>
        <v>442194.62</v>
      </c>
      <c r="I21" s="76"/>
    </row>
    <row r="22">
      <c r="A22" s="50" t="s">
        <v>57</v>
      </c>
      <c r="B22" s="58" t="s">
        <v>147</v>
      </c>
      <c r="C22" s="70"/>
      <c r="D22" s="108">
        <v>46087.0</v>
      </c>
      <c r="E22" s="42" t="s">
        <v>27</v>
      </c>
      <c r="F22" s="104"/>
      <c r="G22" s="43">
        <v>3281.87</v>
      </c>
      <c r="H22" s="49">
        <f t="shared" si="1"/>
        <v>445476.49</v>
      </c>
      <c r="I22" s="64"/>
      <c r="J22" s="78"/>
    </row>
    <row r="23">
      <c r="A23" s="109" t="s">
        <v>57</v>
      </c>
      <c r="B23" s="58" t="s">
        <v>93</v>
      </c>
      <c r="C23" s="110"/>
      <c r="D23" s="107">
        <v>46091.0</v>
      </c>
      <c r="E23" s="42" t="s">
        <v>27</v>
      </c>
      <c r="F23" s="105"/>
      <c r="G23" s="43">
        <v>6563.74</v>
      </c>
      <c r="H23" s="49">
        <f t="shared" si="1"/>
        <v>452040.23</v>
      </c>
      <c r="I23" s="76"/>
    </row>
    <row r="24">
      <c r="A24" s="31" t="s">
        <v>57</v>
      </c>
      <c r="B24" s="58" t="s">
        <v>85</v>
      </c>
      <c r="C24" s="47"/>
      <c r="D24" s="112">
        <v>46092.0</v>
      </c>
      <c r="E24" s="42" t="s">
        <v>27</v>
      </c>
      <c r="F24" s="38"/>
      <c r="G24" s="43">
        <v>3281.87</v>
      </c>
      <c r="H24" s="49">
        <f t="shared" si="1"/>
        <v>455322.1</v>
      </c>
      <c r="I24" s="76"/>
    </row>
    <row r="25">
      <c r="A25" s="50" t="s">
        <v>109</v>
      </c>
      <c r="B25" s="58" t="s">
        <v>152</v>
      </c>
      <c r="C25" s="55"/>
      <c r="D25" s="107">
        <v>46093.0</v>
      </c>
      <c r="E25" s="42" t="s">
        <v>27</v>
      </c>
      <c r="F25" s="104"/>
      <c r="G25" s="43">
        <v>3163.2</v>
      </c>
      <c r="H25" s="49">
        <f t="shared" si="1"/>
        <v>458485.3</v>
      </c>
      <c r="I25" s="76"/>
    </row>
    <row r="26">
      <c r="A26" s="50" t="s">
        <v>153</v>
      </c>
      <c r="B26" s="81" t="s">
        <v>154</v>
      </c>
      <c r="C26" s="55"/>
      <c r="D26" s="107">
        <v>46093.0</v>
      </c>
      <c r="E26" s="42" t="s">
        <v>27</v>
      </c>
      <c r="F26" s="104"/>
      <c r="G26" s="43">
        <v>-3281.87</v>
      </c>
      <c r="H26" s="49">
        <f t="shared" si="1"/>
        <v>455203.43</v>
      </c>
      <c r="I26" s="76"/>
    </row>
    <row r="27">
      <c r="A27" s="31" t="s">
        <v>48</v>
      </c>
      <c r="B27" s="58" t="s">
        <v>48</v>
      </c>
      <c r="C27" s="47"/>
      <c r="D27" s="112">
        <v>46094.0</v>
      </c>
      <c r="E27" s="42" t="s">
        <v>27</v>
      </c>
      <c r="F27" s="38"/>
      <c r="G27" s="43">
        <v>2246.96</v>
      </c>
      <c r="H27" s="49">
        <f t="shared" si="1"/>
        <v>457450.39</v>
      </c>
      <c r="I27" s="76"/>
    </row>
    <row r="28">
      <c r="A28" s="31" t="s">
        <v>157</v>
      </c>
      <c r="B28" s="81" t="s">
        <v>158</v>
      </c>
      <c r="C28" s="47"/>
      <c r="D28" s="112">
        <v>46094.0</v>
      </c>
      <c r="E28" s="42" t="s">
        <v>27</v>
      </c>
      <c r="F28" s="38"/>
      <c r="G28" s="43">
        <v>-3281.87</v>
      </c>
      <c r="H28" s="49">
        <f t="shared" si="1"/>
        <v>454168.52</v>
      </c>
      <c r="I28" s="76"/>
    </row>
    <row r="29">
      <c r="A29" s="31" t="s">
        <v>157</v>
      </c>
      <c r="B29" s="81" t="s">
        <v>161</v>
      </c>
      <c r="C29" s="47"/>
      <c r="D29" s="112">
        <v>46094.0</v>
      </c>
      <c r="E29" s="42" t="s">
        <v>27</v>
      </c>
      <c r="F29" s="38"/>
      <c r="G29" s="43">
        <v>-6563.74</v>
      </c>
      <c r="H29" s="49">
        <f t="shared" si="1"/>
        <v>447604.78</v>
      </c>
      <c r="I29" s="76"/>
    </row>
    <row r="30">
      <c r="A30" s="31" t="s">
        <v>102</v>
      </c>
      <c r="B30" s="81" t="s">
        <v>103</v>
      </c>
      <c r="C30" s="47"/>
      <c r="D30" s="112">
        <v>46100.0</v>
      </c>
      <c r="E30" s="42" t="s">
        <v>27</v>
      </c>
      <c r="F30" s="38"/>
      <c r="G30" s="43">
        <v>-6435.88</v>
      </c>
      <c r="H30" s="49">
        <f t="shared" si="1"/>
        <v>441168.9</v>
      </c>
      <c r="I30" s="76"/>
    </row>
    <row r="31">
      <c r="A31" s="31" t="s">
        <v>105</v>
      </c>
      <c r="B31" s="81" t="s">
        <v>165</v>
      </c>
      <c r="C31" s="47"/>
      <c r="D31" s="112">
        <v>46100.0</v>
      </c>
      <c r="E31" s="42" t="s">
        <v>27</v>
      </c>
      <c r="F31" s="38"/>
      <c r="G31" s="43">
        <v>-1586.68</v>
      </c>
      <c r="H31" s="49">
        <f t="shared" si="1"/>
        <v>439582.22</v>
      </c>
      <c r="I31" s="76"/>
    </row>
    <row r="32">
      <c r="A32" s="50" t="s">
        <v>48</v>
      </c>
      <c r="B32" s="58" t="s">
        <v>48</v>
      </c>
      <c r="C32" s="55"/>
      <c r="D32" s="107">
        <v>46107.0</v>
      </c>
      <c r="E32" s="42" t="s">
        <v>27</v>
      </c>
      <c r="F32" s="38"/>
      <c r="G32" s="43">
        <v>1712.74</v>
      </c>
      <c r="H32" s="49">
        <f t="shared" si="1"/>
        <v>441294.96</v>
      </c>
      <c r="I32" s="76"/>
      <c r="J32" s="76"/>
    </row>
    <row r="33">
      <c r="A33" s="50" t="s">
        <v>173</v>
      </c>
      <c r="B33" s="58" t="s">
        <v>174</v>
      </c>
      <c r="C33" s="55"/>
      <c r="D33" s="107">
        <v>46107.0</v>
      </c>
      <c r="E33" s="42" t="s">
        <v>27</v>
      </c>
      <c r="F33" s="38"/>
      <c r="G33" s="43">
        <v>14123.0</v>
      </c>
      <c r="H33" s="49">
        <f t="shared" si="1"/>
        <v>455417.96</v>
      </c>
      <c r="I33" s="76"/>
      <c r="J33" s="76"/>
    </row>
    <row r="34">
      <c r="A34" s="89" t="s">
        <v>118</v>
      </c>
      <c r="B34" s="90" t="s">
        <v>119</v>
      </c>
      <c r="C34" s="91" t="s">
        <v>120</v>
      </c>
      <c r="D34" s="112">
        <v>46112.0</v>
      </c>
      <c r="E34" s="42" t="s">
        <v>27</v>
      </c>
      <c r="F34" s="38"/>
      <c r="G34" s="43">
        <v>-4722.24</v>
      </c>
      <c r="H34" s="49">
        <f t="shared" si="1"/>
        <v>450695.72</v>
      </c>
      <c r="I34" s="76"/>
      <c r="J34" s="76"/>
    </row>
    <row r="35">
      <c r="A35" s="89" t="s">
        <v>118</v>
      </c>
      <c r="B35" s="93" t="s">
        <v>125</v>
      </c>
      <c r="C35" s="91" t="s">
        <v>126</v>
      </c>
      <c r="D35" s="112">
        <v>46112.0</v>
      </c>
      <c r="E35" s="42" t="s">
        <v>27</v>
      </c>
      <c r="F35" s="38"/>
      <c r="G35" s="43">
        <v>-4722.24</v>
      </c>
      <c r="H35" s="49">
        <f t="shared" si="1"/>
        <v>445973.48</v>
      </c>
      <c r="I35" s="76"/>
      <c r="J35" s="76"/>
    </row>
    <row r="36">
      <c r="A36" s="89" t="s">
        <v>118</v>
      </c>
      <c r="B36" s="93" t="s">
        <v>132</v>
      </c>
      <c r="C36" s="98" t="s">
        <v>135</v>
      </c>
      <c r="D36" s="112">
        <v>46112.0</v>
      </c>
      <c r="E36" s="42" t="s">
        <v>27</v>
      </c>
      <c r="F36" s="38"/>
      <c r="G36" s="43">
        <v>-4722.24</v>
      </c>
      <c r="H36" s="49">
        <f t="shared" si="1"/>
        <v>441251.24</v>
      </c>
      <c r="I36" s="76"/>
      <c r="J36" s="76"/>
    </row>
    <row r="37">
      <c r="A37" s="89" t="s">
        <v>118</v>
      </c>
      <c r="B37" s="90" t="s">
        <v>178</v>
      </c>
      <c r="C37" s="127" t="s">
        <v>180</v>
      </c>
      <c r="D37" s="112">
        <v>46112.0</v>
      </c>
      <c r="E37" s="42" t="s">
        <v>27</v>
      </c>
      <c r="F37" s="38"/>
      <c r="G37" s="43">
        <v>-4639.91</v>
      </c>
      <c r="H37" s="49">
        <f t="shared" si="1"/>
        <v>436611.33</v>
      </c>
      <c r="I37" s="76"/>
      <c r="J37" s="76"/>
    </row>
    <row r="38">
      <c r="A38" s="31" t="s">
        <v>153</v>
      </c>
      <c r="B38" s="81" t="s">
        <v>184</v>
      </c>
      <c r="C38" s="127" t="s">
        <v>180</v>
      </c>
      <c r="D38" s="112">
        <v>46112.0</v>
      </c>
      <c r="E38" s="42" t="s">
        <v>27</v>
      </c>
      <c r="F38" s="38"/>
      <c r="G38" s="43">
        <v>-50.0</v>
      </c>
      <c r="H38" s="49">
        <f t="shared" si="1"/>
        <v>436561.33</v>
      </c>
      <c r="I38" s="76"/>
      <c r="J38" s="76"/>
    </row>
    <row r="39">
      <c r="A39" s="50" t="s">
        <v>57</v>
      </c>
      <c r="B39" s="58" t="s">
        <v>186</v>
      </c>
      <c r="C39" s="55"/>
      <c r="D39" s="107">
        <v>46119.0</v>
      </c>
      <c r="E39" s="42" t="s">
        <v>27</v>
      </c>
      <c r="F39" s="38"/>
      <c r="G39" s="43">
        <v>3281.87</v>
      </c>
      <c r="H39" s="49">
        <f t="shared" si="1"/>
        <v>439843.2</v>
      </c>
      <c r="I39" s="76"/>
      <c r="J39" s="76"/>
    </row>
    <row r="40">
      <c r="A40" s="31" t="s">
        <v>57</v>
      </c>
      <c r="B40" s="58" t="s">
        <v>188</v>
      </c>
      <c r="C40" s="47"/>
      <c r="D40" s="112">
        <v>46120.0</v>
      </c>
      <c r="E40" s="42" t="s">
        <v>27</v>
      </c>
      <c r="F40" s="38"/>
      <c r="G40" s="43">
        <v>9025.14</v>
      </c>
      <c r="H40" s="49">
        <f t="shared" si="1"/>
        <v>448868.34</v>
      </c>
      <c r="I40" s="76"/>
      <c r="J40" s="76"/>
    </row>
    <row r="41">
      <c r="A41" s="50" t="s">
        <v>57</v>
      </c>
      <c r="B41" s="81" t="s">
        <v>186</v>
      </c>
      <c r="C41" s="55"/>
      <c r="D41" s="107">
        <v>46121.0</v>
      </c>
      <c r="E41" s="42" t="s">
        <v>27</v>
      </c>
      <c r="F41" s="126"/>
      <c r="G41" s="43">
        <v>-3281.87</v>
      </c>
      <c r="H41" s="49">
        <f t="shared" si="1"/>
        <v>445586.47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</row>
    <row r="42">
      <c r="A42" s="50" t="s">
        <v>57</v>
      </c>
      <c r="B42" s="81" t="s">
        <v>188</v>
      </c>
      <c r="C42" s="55"/>
      <c r="D42" s="107">
        <v>46121.0</v>
      </c>
      <c r="E42" s="42" t="s">
        <v>27</v>
      </c>
      <c r="F42" s="126"/>
      <c r="G42" s="43">
        <v>-9025.14</v>
      </c>
      <c r="H42" s="49">
        <f t="shared" si="1"/>
        <v>436561.33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</row>
    <row r="43">
      <c r="A43" s="31" t="s">
        <v>105</v>
      </c>
      <c r="B43" s="81" t="s">
        <v>193</v>
      </c>
      <c r="C43" s="47"/>
      <c r="D43" s="112">
        <v>46122.0</v>
      </c>
      <c r="E43" s="42" t="s">
        <v>27</v>
      </c>
      <c r="F43" s="38"/>
      <c r="G43" s="43">
        <v>-1331.6</v>
      </c>
      <c r="H43" s="49">
        <f t="shared" si="1"/>
        <v>435229.73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</row>
    <row r="44">
      <c r="A44" s="31" t="s">
        <v>102</v>
      </c>
      <c r="B44" s="81" t="s">
        <v>103</v>
      </c>
      <c r="C44" s="47"/>
      <c r="D44" s="112">
        <v>46122.0</v>
      </c>
      <c r="E44" s="42" t="s">
        <v>27</v>
      </c>
      <c r="F44" s="38"/>
      <c r="G44" s="43">
        <v>-5306.71</v>
      </c>
      <c r="H44" s="49">
        <f t="shared" si="1"/>
        <v>429923.02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</row>
    <row r="45">
      <c r="A45" s="31" t="s">
        <v>57</v>
      </c>
      <c r="B45" s="58" t="s">
        <v>188</v>
      </c>
      <c r="C45" s="47"/>
      <c r="D45" s="112">
        <v>46126.0</v>
      </c>
      <c r="E45" s="42" t="s">
        <v>27</v>
      </c>
      <c r="F45" s="38"/>
      <c r="G45" s="43">
        <v>9025.14</v>
      </c>
      <c r="H45" s="49">
        <f t="shared" si="1"/>
        <v>438948.16</v>
      </c>
      <c r="I45" s="76"/>
    </row>
    <row r="46">
      <c r="A46" s="31" t="s">
        <v>173</v>
      </c>
      <c r="B46" s="58" t="s">
        <v>194</v>
      </c>
      <c r="C46" s="47"/>
      <c r="D46" s="112">
        <v>46128.0</v>
      </c>
      <c r="E46" s="42" t="s">
        <v>27</v>
      </c>
      <c r="F46" s="38"/>
      <c r="G46" s="43">
        <v>3163.2</v>
      </c>
      <c r="H46" s="49">
        <f t="shared" si="1"/>
        <v>442111.36</v>
      </c>
      <c r="I46" s="76"/>
    </row>
    <row r="47">
      <c r="A47" s="50" t="s">
        <v>57</v>
      </c>
      <c r="B47" s="81" t="s">
        <v>196</v>
      </c>
      <c r="C47" s="55"/>
      <c r="D47" s="107">
        <v>46129.0</v>
      </c>
      <c r="E47" s="42" t="s">
        <v>27</v>
      </c>
      <c r="F47" s="38"/>
      <c r="G47" s="43">
        <v>-9025.14</v>
      </c>
      <c r="H47" s="49">
        <f t="shared" si="1"/>
        <v>433086.22</v>
      </c>
      <c r="I47" s="76"/>
    </row>
    <row r="48">
      <c r="A48" s="136"/>
      <c r="B48" s="81" t="s">
        <v>198</v>
      </c>
      <c r="C48" s="55"/>
      <c r="D48" s="107">
        <v>46129.0</v>
      </c>
      <c r="E48" s="42" t="s">
        <v>27</v>
      </c>
      <c r="F48" s="38"/>
      <c r="G48" s="43">
        <v>-398.65</v>
      </c>
      <c r="H48" s="49">
        <f t="shared" si="1"/>
        <v>432687.57</v>
      </c>
      <c r="I48" s="76"/>
    </row>
    <row r="49">
      <c r="A49" s="31" t="s">
        <v>173</v>
      </c>
      <c r="B49" s="58" t="s">
        <v>199</v>
      </c>
      <c r="C49" s="47"/>
      <c r="D49" s="112">
        <v>46136.0</v>
      </c>
      <c r="E49" s="42" t="s">
        <v>27</v>
      </c>
      <c r="F49" s="38"/>
      <c r="G49" s="43">
        <v>14123.0</v>
      </c>
      <c r="H49" s="49">
        <f t="shared" si="1"/>
        <v>446810.57</v>
      </c>
      <c r="I49" s="76"/>
    </row>
    <row r="50">
      <c r="A50" s="137"/>
      <c r="B50" s="81" t="s">
        <v>200</v>
      </c>
      <c r="C50" s="47"/>
      <c r="D50" s="112">
        <v>46136.0</v>
      </c>
      <c r="E50" s="42" t="s">
        <v>27</v>
      </c>
      <c r="F50" s="38"/>
      <c r="G50" s="43">
        <v>-172.86</v>
      </c>
      <c r="H50" s="49">
        <f t="shared" si="1"/>
        <v>446637.71</v>
      </c>
      <c r="I50" s="76"/>
    </row>
    <row r="51">
      <c r="A51" s="89" t="s">
        <v>118</v>
      </c>
      <c r="B51" s="90" t="s">
        <v>119</v>
      </c>
      <c r="C51" s="91" t="s">
        <v>120</v>
      </c>
      <c r="D51" s="112">
        <v>46142.0</v>
      </c>
      <c r="E51" s="42" t="s">
        <v>27</v>
      </c>
      <c r="F51" s="56" t="s">
        <v>62</v>
      </c>
      <c r="G51" s="43">
        <v>-4722.24</v>
      </c>
      <c r="H51" s="49">
        <f t="shared" si="1"/>
        <v>441915.47</v>
      </c>
      <c r="I51" s="76"/>
    </row>
    <row r="52">
      <c r="A52" s="89" t="s">
        <v>118</v>
      </c>
      <c r="B52" s="93" t="s">
        <v>125</v>
      </c>
      <c r="C52" s="91" t="s">
        <v>126</v>
      </c>
      <c r="D52" s="112">
        <v>46142.0</v>
      </c>
      <c r="E52" s="42" t="s">
        <v>27</v>
      </c>
      <c r="F52" s="56" t="s">
        <v>62</v>
      </c>
      <c r="G52" s="43">
        <v>-4722.24</v>
      </c>
      <c r="H52" s="49">
        <f t="shared" si="1"/>
        <v>437193.23</v>
      </c>
      <c r="I52" s="76"/>
    </row>
    <row r="53">
      <c r="A53" s="89" t="s">
        <v>118</v>
      </c>
      <c r="B53" s="93" t="s">
        <v>132</v>
      </c>
      <c r="C53" s="98" t="s">
        <v>135</v>
      </c>
      <c r="D53" s="112">
        <v>46142.0</v>
      </c>
      <c r="E53" s="42" t="s">
        <v>27</v>
      </c>
      <c r="F53" s="56" t="s">
        <v>62</v>
      </c>
      <c r="G53" s="43">
        <v>-4722.24</v>
      </c>
      <c r="H53" s="49">
        <f t="shared" si="1"/>
        <v>432470.99</v>
      </c>
      <c r="I53" s="76"/>
    </row>
    <row r="54">
      <c r="A54" s="89" t="s">
        <v>118</v>
      </c>
      <c r="B54" s="90" t="s">
        <v>178</v>
      </c>
      <c r="C54" s="127" t="s">
        <v>180</v>
      </c>
      <c r="D54" s="112">
        <v>46142.0</v>
      </c>
      <c r="E54" s="42" t="s">
        <v>27</v>
      </c>
      <c r="F54" s="56" t="s">
        <v>62</v>
      </c>
      <c r="G54" s="43">
        <v>-4722.24</v>
      </c>
      <c r="H54" s="49">
        <f t="shared" si="1"/>
        <v>427748.75</v>
      </c>
      <c r="I54" s="76"/>
    </row>
    <row r="55">
      <c r="A55" s="31" t="s">
        <v>168</v>
      </c>
      <c r="B55" s="81" t="s">
        <v>203</v>
      </c>
      <c r="C55" s="47"/>
      <c r="D55" s="112">
        <v>46146.0</v>
      </c>
      <c r="E55" s="42" t="s">
        <v>27</v>
      </c>
      <c r="F55" s="38"/>
      <c r="G55" s="43">
        <v>-949.8</v>
      </c>
      <c r="H55" s="49">
        <f t="shared" si="1"/>
        <v>426798.95</v>
      </c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</row>
    <row r="56">
      <c r="A56" s="31" t="s">
        <v>168</v>
      </c>
      <c r="B56" s="81" t="s">
        <v>204</v>
      </c>
      <c r="C56" s="47"/>
      <c r="D56" s="112">
        <v>46146.0</v>
      </c>
      <c r="E56" s="42" t="s">
        <v>27</v>
      </c>
      <c r="F56" s="38"/>
      <c r="G56" s="43">
        <v>-750.0</v>
      </c>
      <c r="H56" s="49">
        <f t="shared" si="1"/>
        <v>426048.95</v>
      </c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</row>
    <row r="57">
      <c r="A57" s="50" t="s">
        <v>48</v>
      </c>
      <c r="B57" s="58" t="s">
        <v>48</v>
      </c>
      <c r="C57" s="55"/>
      <c r="D57" s="107">
        <v>46149.0</v>
      </c>
      <c r="E57" s="42" t="s">
        <v>27</v>
      </c>
      <c r="F57" s="38"/>
      <c r="G57" s="43">
        <v>5163.56</v>
      </c>
      <c r="H57" s="49">
        <f t="shared" si="1"/>
        <v>431212.51</v>
      </c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</row>
    <row r="58">
      <c r="A58" s="50" t="s">
        <v>173</v>
      </c>
      <c r="B58" s="58" t="s">
        <v>194</v>
      </c>
      <c r="C58" s="55"/>
      <c r="D58" s="107">
        <v>46149.0</v>
      </c>
      <c r="E58" s="42" t="s">
        <v>27</v>
      </c>
      <c r="F58" s="38"/>
      <c r="G58" s="43">
        <v>3163.2</v>
      </c>
      <c r="H58" s="49">
        <f t="shared" si="1"/>
        <v>434375.71</v>
      </c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</row>
    <row r="59">
      <c r="A59" s="50" t="s">
        <v>57</v>
      </c>
      <c r="B59" s="58" t="s">
        <v>207</v>
      </c>
      <c r="C59" s="138"/>
      <c r="D59" s="107">
        <v>46153.0</v>
      </c>
      <c r="E59" s="42" t="s">
        <v>27</v>
      </c>
      <c r="F59" s="126"/>
      <c r="G59" s="43">
        <v>3281.87</v>
      </c>
      <c r="H59" s="49">
        <f t="shared" si="1"/>
        <v>437657.58</v>
      </c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</row>
    <row r="60">
      <c r="A60" s="50" t="s">
        <v>57</v>
      </c>
      <c r="B60" s="58" t="s">
        <v>85</v>
      </c>
      <c r="C60" s="138"/>
      <c r="D60" s="107">
        <v>46153.0</v>
      </c>
      <c r="E60" s="42" t="s">
        <v>27</v>
      </c>
      <c r="F60" s="126"/>
      <c r="G60" s="43">
        <v>3281.87</v>
      </c>
      <c r="H60" s="49">
        <f t="shared" si="1"/>
        <v>440939.45</v>
      </c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</row>
    <row r="61">
      <c r="A61" s="50" t="s">
        <v>57</v>
      </c>
      <c r="B61" s="58" t="s">
        <v>139</v>
      </c>
      <c r="C61" s="138"/>
      <c r="D61" s="107">
        <v>46153.0</v>
      </c>
      <c r="E61" s="42" t="s">
        <v>27</v>
      </c>
      <c r="F61" s="126"/>
      <c r="G61" s="43">
        <v>9025.14</v>
      </c>
      <c r="H61" s="49">
        <f t="shared" si="1"/>
        <v>449964.59</v>
      </c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</row>
    <row r="62">
      <c r="A62" s="50" t="s">
        <v>102</v>
      </c>
      <c r="B62" s="81" t="s">
        <v>103</v>
      </c>
      <c r="C62" s="138"/>
      <c r="D62" s="107">
        <v>46153.0</v>
      </c>
      <c r="E62" s="42" t="s">
        <v>27</v>
      </c>
      <c r="F62" s="126"/>
      <c r="G62" s="43">
        <v>-7075.62</v>
      </c>
      <c r="H62" s="49">
        <f t="shared" si="1"/>
        <v>442888.97</v>
      </c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</row>
    <row r="63">
      <c r="A63" s="50" t="s">
        <v>105</v>
      </c>
      <c r="B63" s="81" t="s">
        <v>212</v>
      </c>
      <c r="C63" s="138"/>
      <c r="D63" s="107">
        <v>46153.0</v>
      </c>
      <c r="E63" s="42" t="s">
        <v>27</v>
      </c>
      <c r="F63" s="126"/>
      <c r="G63" s="43">
        <v>-1748.8</v>
      </c>
      <c r="H63" s="49">
        <f t="shared" si="1"/>
        <v>441140.17</v>
      </c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</row>
    <row r="64">
      <c r="A64" s="50" t="s">
        <v>157</v>
      </c>
      <c r="B64" s="81" t="s">
        <v>214</v>
      </c>
      <c r="C64" s="139"/>
      <c r="D64" s="107">
        <v>46153.0</v>
      </c>
      <c r="E64" s="42" t="s">
        <v>27</v>
      </c>
      <c r="F64" s="38"/>
      <c r="G64" s="43">
        <v>-15588.88</v>
      </c>
      <c r="H64" s="49">
        <f t="shared" si="1"/>
        <v>425551.29</v>
      </c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</row>
    <row r="65">
      <c r="A65" s="31" t="s">
        <v>57</v>
      </c>
      <c r="B65" s="58" t="s">
        <v>93</v>
      </c>
      <c r="C65" s="139"/>
      <c r="D65" s="112">
        <v>46154.0</v>
      </c>
      <c r="E65" s="42" t="s">
        <v>27</v>
      </c>
      <c r="F65" s="38"/>
      <c r="G65" s="43">
        <v>3281.87</v>
      </c>
      <c r="H65" s="49">
        <f t="shared" si="1"/>
        <v>428833.16</v>
      </c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</row>
    <row r="66">
      <c r="A66" s="31" t="s">
        <v>57</v>
      </c>
      <c r="B66" s="58" t="s">
        <v>217</v>
      </c>
      <c r="C66" s="139"/>
      <c r="D66" s="112">
        <v>46154.0</v>
      </c>
      <c r="E66" s="42" t="s">
        <v>27</v>
      </c>
      <c r="F66" s="38"/>
      <c r="G66" s="43">
        <v>2461.4</v>
      </c>
      <c r="H66" s="49">
        <f t="shared" si="1"/>
        <v>431294.56</v>
      </c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</row>
    <row r="67">
      <c r="A67" s="136"/>
      <c r="B67" s="140" t="s">
        <v>198</v>
      </c>
      <c r="C67" s="138"/>
      <c r="D67" s="107">
        <v>46159.0</v>
      </c>
      <c r="E67" s="42" t="s">
        <v>27</v>
      </c>
      <c r="F67" s="126"/>
      <c r="G67" s="43">
        <v>0.0</v>
      </c>
      <c r="H67" s="49">
        <f t="shared" si="1"/>
        <v>431294.56</v>
      </c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</row>
    <row r="68">
      <c r="A68" s="31" t="s">
        <v>157</v>
      </c>
      <c r="B68" s="81" t="s">
        <v>218</v>
      </c>
      <c r="C68" s="139"/>
      <c r="D68" s="112">
        <v>46160.0</v>
      </c>
      <c r="E68" s="42" t="s">
        <v>27</v>
      </c>
      <c r="F68" s="38"/>
      <c r="G68" s="43">
        <v>-5743.27</v>
      </c>
      <c r="H68" s="49">
        <f t="shared" si="1"/>
        <v>425551.29</v>
      </c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</row>
    <row r="69">
      <c r="A69" s="31" t="s">
        <v>48</v>
      </c>
      <c r="B69" s="58" t="s">
        <v>48</v>
      </c>
      <c r="C69" s="139"/>
      <c r="D69" s="112">
        <v>46164.0</v>
      </c>
      <c r="E69" s="42" t="s">
        <v>27</v>
      </c>
      <c r="F69" s="38"/>
      <c r="G69" s="43">
        <v>2057.4</v>
      </c>
      <c r="H69" s="49">
        <f t="shared" si="1"/>
        <v>427608.69</v>
      </c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</row>
    <row r="70">
      <c r="A70" s="137"/>
      <c r="B70" s="81" t="s">
        <v>198</v>
      </c>
      <c r="C70" s="139"/>
      <c r="D70" s="112">
        <v>46164.0</v>
      </c>
      <c r="E70" s="42" t="s">
        <v>27</v>
      </c>
      <c r="F70" s="38"/>
      <c r="G70" s="43">
        <v>-174.86</v>
      </c>
      <c r="H70" s="49">
        <f t="shared" si="1"/>
        <v>427433.83</v>
      </c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</row>
    <row r="71">
      <c r="A71" s="136"/>
      <c r="B71" s="81" t="s">
        <v>220</v>
      </c>
      <c r="C71" s="139"/>
      <c r="D71" s="107">
        <v>46167.0</v>
      </c>
      <c r="E71" s="42" t="s">
        <v>27</v>
      </c>
      <c r="F71" s="126"/>
      <c r="G71" s="43">
        <v>-330.0</v>
      </c>
      <c r="H71" s="49">
        <f t="shared" si="1"/>
        <v>427103.83</v>
      </c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</row>
    <row r="72">
      <c r="A72" s="141" t="s">
        <v>118</v>
      </c>
      <c r="B72" s="90" t="s">
        <v>119</v>
      </c>
      <c r="C72" s="91" t="s">
        <v>120</v>
      </c>
      <c r="D72" s="107">
        <v>46171.0</v>
      </c>
      <c r="E72" s="42" t="s">
        <v>27</v>
      </c>
      <c r="F72" s="95" t="s">
        <v>62</v>
      </c>
      <c r="G72" s="43">
        <v>-4722.24</v>
      </c>
      <c r="H72" s="49">
        <f t="shared" si="1"/>
        <v>422381.59</v>
      </c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</row>
    <row r="73">
      <c r="A73" s="141" t="s">
        <v>118</v>
      </c>
      <c r="B73" s="93" t="s">
        <v>125</v>
      </c>
      <c r="C73" s="91" t="s">
        <v>126</v>
      </c>
      <c r="D73" s="107">
        <v>46171.0</v>
      </c>
      <c r="E73" s="42" t="s">
        <v>27</v>
      </c>
      <c r="F73" s="95" t="s">
        <v>62</v>
      </c>
      <c r="G73" s="43">
        <v>-4722.24</v>
      </c>
      <c r="H73" s="49">
        <f t="shared" si="1"/>
        <v>417659.35</v>
      </c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</row>
    <row r="74">
      <c r="A74" s="141" t="s">
        <v>118</v>
      </c>
      <c r="B74" s="93" t="s">
        <v>132</v>
      </c>
      <c r="C74" s="98" t="s">
        <v>135</v>
      </c>
      <c r="D74" s="107">
        <v>46171.0</v>
      </c>
      <c r="E74" s="42" t="s">
        <v>27</v>
      </c>
      <c r="F74" s="95" t="s">
        <v>62</v>
      </c>
      <c r="G74" s="43">
        <v>-4722.24</v>
      </c>
      <c r="H74" s="49">
        <f t="shared" si="1"/>
        <v>412937.11</v>
      </c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</row>
    <row r="75">
      <c r="A75" s="141" t="s">
        <v>118</v>
      </c>
      <c r="B75" s="93" t="s">
        <v>222</v>
      </c>
      <c r="C75" s="127" t="s">
        <v>180</v>
      </c>
      <c r="D75" s="107">
        <v>46171.0</v>
      </c>
      <c r="E75" s="42" t="s">
        <v>27</v>
      </c>
      <c r="F75" s="95" t="s">
        <v>62</v>
      </c>
      <c r="G75" s="43">
        <v>-4722.24</v>
      </c>
      <c r="H75" s="49">
        <f t="shared" si="1"/>
        <v>408214.87</v>
      </c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</row>
    <row r="76">
      <c r="A76" s="31" t="s">
        <v>173</v>
      </c>
      <c r="B76" s="58" t="s">
        <v>174</v>
      </c>
      <c r="C76" s="139"/>
      <c r="D76" s="112">
        <v>46174.0</v>
      </c>
      <c r="E76" s="42" t="s">
        <v>27</v>
      </c>
      <c r="F76" s="38"/>
      <c r="G76" s="43">
        <v>14123.0</v>
      </c>
      <c r="H76" s="49">
        <f t="shared" si="1"/>
        <v>422337.87</v>
      </c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</row>
    <row r="77">
      <c r="A77" s="50" t="s">
        <v>173</v>
      </c>
      <c r="B77" s="58" t="s">
        <v>223</v>
      </c>
      <c r="C77" s="138"/>
      <c r="D77" s="107">
        <v>46175.0</v>
      </c>
      <c r="E77" s="142" t="s">
        <v>27</v>
      </c>
      <c r="F77" s="126"/>
      <c r="G77" s="43">
        <v>2049.39</v>
      </c>
      <c r="H77" s="49">
        <f t="shared" si="1"/>
        <v>424387.26</v>
      </c>
      <c r="I77" s="76"/>
    </row>
    <row r="78">
      <c r="A78" s="50" t="s">
        <v>57</v>
      </c>
      <c r="B78" s="58" t="s">
        <v>85</v>
      </c>
      <c r="C78" s="55"/>
      <c r="D78" s="107">
        <v>46181.0</v>
      </c>
      <c r="E78" s="142" t="s">
        <v>27</v>
      </c>
      <c r="F78" s="126"/>
      <c r="G78" s="43">
        <v>3281.87</v>
      </c>
      <c r="H78" s="49">
        <f t="shared" si="1"/>
        <v>427669.13</v>
      </c>
      <c r="I78" s="76"/>
    </row>
    <row r="79">
      <c r="A79" s="31" t="s">
        <v>173</v>
      </c>
      <c r="B79" s="58" t="s">
        <v>223</v>
      </c>
      <c r="C79" s="47"/>
      <c r="D79" s="112">
        <v>46182.0</v>
      </c>
      <c r="E79" s="42" t="s">
        <v>27</v>
      </c>
      <c r="F79" s="38"/>
      <c r="G79" s="43">
        <v>2049.39</v>
      </c>
      <c r="H79" s="49">
        <f t="shared" si="1"/>
        <v>429718.52</v>
      </c>
      <c r="I79" s="76"/>
    </row>
    <row r="80">
      <c r="A80" s="31" t="s">
        <v>173</v>
      </c>
      <c r="B80" s="143" t="s">
        <v>194</v>
      </c>
      <c r="C80" s="47"/>
      <c r="D80" s="112">
        <v>46184.0</v>
      </c>
      <c r="E80" s="42" t="s">
        <v>27</v>
      </c>
      <c r="F80" s="38"/>
      <c r="G80" s="43">
        <v>3163.2</v>
      </c>
      <c r="H80" s="49">
        <f t="shared" si="1"/>
        <v>432881.72</v>
      </c>
      <c r="I80" s="76"/>
    </row>
    <row r="81">
      <c r="A81" s="31" t="s">
        <v>57</v>
      </c>
      <c r="B81" s="58" t="s">
        <v>139</v>
      </c>
      <c r="C81" s="47"/>
      <c r="D81" s="112">
        <v>46188.0</v>
      </c>
      <c r="E81" s="142" t="s">
        <v>27</v>
      </c>
      <c r="F81" s="38"/>
      <c r="G81" s="43">
        <v>9025.14</v>
      </c>
      <c r="H81" s="49">
        <f t="shared" si="1"/>
        <v>441906.86</v>
      </c>
      <c r="I81" s="76"/>
    </row>
    <row r="82">
      <c r="A82" s="89" t="s">
        <v>118</v>
      </c>
      <c r="B82" s="90" t="s">
        <v>119</v>
      </c>
      <c r="C82" s="47"/>
      <c r="D82" s="112">
        <v>46205.0</v>
      </c>
      <c r="E82" s="42" t="s">
        <v>27</v>
      </c>
      <c r="F82" s="56" t="s">
        <v>62</v>
      </c>
      <c r="G82" s="43">
        <v>-4722.24</v>
      </c>
      <c r="H82" s="49">
        <f t="shared" si="1"/>
        <v>437184.62</v>
      </c>
      <c r="I82" s="76"/>
    </row>
    <row r="83">
      <c r="A83" s="89" t="s">
        <v>118</v>
      </c>
      <c r="B83" s="93" t="s">
        <v>125</v>
      </c>
      <c r="C83" s="47"/>
      <c r="D83" s="112">
        <v>46205.0</v>
      </c>
      <c r="E83" s="42" t="s">
        <v>27</v>
      </c>
      <c r="F83" s="56" t="s">
        <v>62</v>
      </c>
      <c r="G83" s="43">
        <v>-4722.24</v>
      </c>
      <c r="H83" s="49">
        <f t="shared" si="1"/>
        <v>432462.38</v>
      </c>
      <c r="I83" s="76"/>
    </row>
    <row r="84">
      <c r="A84" s="89" t="s">
        <v>118</v>
      </c>
      <c r="B84" s="93" t="s">
        <v>132</v>
      </c>
      <c r="C84" s="47"/>
      <c r="D84" s="112">
        <v>46205.0</v>
      </c>
      <c r="E84" s="42" t="s">
        <v>27</v>
      </c>
      <c r="F84" s="56" t="s">
        <v>62</v>
      </c>
      <c r="G84" s="43">
        <v>-4722.24</v>
      </c>
      <c r="H84" s="49">
        <f t="shared" si="1"/>
        <v>427740.14</v>
      </c>
      <c r="I84" s="76"/>
    </row>
    <row r="85">
      <c r="A85" s="89" t="s">
        <v>118</v>
      </c>
      <c r="B85" s="93" t="s">
        <v>222</v>
      </c>
      <c r="C85" s="47"/>
      <c r="D85" s="112">
        <v>46205.0</v>
      </c>
      <c r="E85" s="42" t="s">
        <v>27</v>
      </c>
      <c r="F85" s="56" t="s">
        <v>62</v>
      </c>
      <c r="G85" s="43">
        <v>-4722.24</v>
      </c>
      <c r="H85" s="49">
        <f t="shared" si="1"/>
        <v>423017.9</v>
      </c>
      <c r="I85" s="76"/>
    </row>
    <row r="86">
      <c r="A86" s="31" t="s">
        <v>102</v>
      </c>
      <c r="B86" s="81" t="s">
        <v>225</v>
      </c>
      <c r="C86" s="47"/>
      <c r="D86" s="112">
        <v>46209.0</v>
      </c>
      <c r="E86" s="42" t="s">
        <v>27</v>
      </c>
      <c r="F86" s="38"/>
      <c r="G86" s="43">
        <v>-7496.6</v>
      </c>
      <c r="H86" s="49">
        <f t="shared" si="1"/>
        <v>415521.3</v>
      </c>
      <c r="I86" s="76"/>
    </row>
    <row r="87">
      <c r="A87" s="31" t="s">
        <v>105</v>
      </c>
      <c r="B87" s="81" t="s">
        <v>226</v>
      </c>
      <c r="C87" s="47"/>
      <c r="D87" s="112">
        <v>46209.0</v>
      </c>
      <c r="E87" s="42" t="s">
        <v>27</v>
      </c>
      <c r="F87" s="38"/>
      <c r="G87" s="43">
        <v>-1934.0</v>
      </c>
      <c r="H87" s="49">
        <f t="shared" si="1"/>
        <v>413587.3</v>
      </c>
      <c r="I87" s="76"/>
    </row>
    <row r="88">
      <c r="A88" s="137"/>
      <c r="B88" s="81" t="s">
        <v>198</v>
      </c>
      <c r="C88" s="47"/>
      <c r="D88" s="112">
        <v>46209.0</v>
      </c>
      <c r="E88" s="42" t="s">
        <v>27</v>
      </c>
      <c r="F88" s="38"/>
      <c r="G88" s="43">
        <v>-172.86</v>
      </c>
      <c r="H88" s="49">
        <f t="shared" si="1"/>
        <v>413414.44</v>
      </c>
      <c r="I88" s="76"/>
    </row>
    <row r="89">
      <c r="A89" s="31" t="s">
        <v>157</v>
      </c>
      <c r="B89" s="81" t="s">
        <v>227</v>
      </c>
      <c r="C89" s="47"/>
      <c r="D89" s="112">
        <v>46209.0</v>
      </c>
      <c r="E89" s="42" t="s">
        <v>27</v>
      </c>
      <c r="F89" s="38"/>
      <c r="G89" s="43">
        <v>-12307.01</v>
      </c>
      <c r="H89" s="49">
        <f t="shared" si="1"/>
        <v>401107.43</v>
      </c>
      <c r="I89" s="76"/>
    </row>
    <row r="90">
      <c r="A90" s="50" t="s">
        <v>57</v>
      </c>
      <c r="B90" s="58" t="s">
        <v>139</v>
      </c>
      <c r="C90" s="55"/>
      <c r="D90" s="107">
        <v>46210.0</v>
      </c>
      <c r="E90" s="142" t="s">
        <v>27</v>
      </c>
      <c r="F90" s="126"/>
      <c r="G90" s="43">
        <v>9025.14</v>
      </c>
      <c r="H90" s="49">
        <f t="shared" si="1"/>
        <v>410132.57</v>
      </c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</row>
    <row r="91">
      <c r="A91" s="31" t="s">
        <v>153</v>
      </c>
      <c r="B91" s="81" t="s">
        <v>228</v>
      </c>
      <c r="C91" s="47"/>
      <c r="D91" s="112">
        <v>46211.0</v>
      </c>
      <c r="E91" s="142" t="s">
        <v>27</v>
      </c>
      <c r="F91" s="38"/>
      <c r="G91" s="43">
        <v>-62.0</v>
      </c>
      <c r="H91" s="49">
        <f t="shared" si="1"/>
        <v>410070.57</v>
      </c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</row>
    <row r="92">
      <c r="A92" s="31" t="s">
        <v>157</v>
      </c>
      <c r="B92" s="81" t="s">
        <v>143</v>
      </c>
      <c r="C92" s="47"/>
      <c r="D92" s="112">
        <v>46211.0</v>
      </c>
      <c r="E92" s="142" t="s">
        <v>27</v>
      </c>
      <c r="F92" s="38"/>
      <c r="G92" s="43">
        <v>-9025.14</v>
      </c>
      <c r="H92" s="49">
        <f t="shared" si="1"/>
        <v>401045.43</v>
      </c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</row>
    <row r="93">
      <c r="A93" s="31" t="s">
        <v>102</v>
      </c>
      <c r="B93" s="81" t="s">
        <v>229</v>
      </c>
      <c r="C93" s="47"/>
      <c r="D93" s="112">
        <v>46211.0</v>
      </c>
      <c r="E93" s="142" t="s">
        <v>27</v>
      </c>
      <c r="F93" s="38"/>
      <c r="G93" s="43">
        <v>-58.26</v>
      </c>
      <c r="H93" s="49">
        <f t="shared" si="1"/>
        <v>400987.17</v>
      </c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</row>
    <row r="94">
      <c r="A94" s="31" t="s">
        <v>173</v>
      </c>
      <c r="B94" s="58" t="s">
        <v>223</v>
      </c>
      <c r="C94" s="47"/>
      <c r="D94" s="112">
        <v>46211.0</v>
      </c>
      <c r="E94" s="142" t="s">
        <v>27</v>
      </c>
      <c r="F94" s="38"/>
      <c r="G94" s="43">
        <v>2049.39</v>
      </c>
      <c r="H94" s="49">
        <f t="shared" si="1"/>
        <v>403036.56</v>
      </c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</row>
    <row r="95">
      <c r="A95" s="50" t="s">
        <v>173</v>
      </c>
      <c r="B95" s="54" t="s">
        <v>231</v>
      </c>
      <c r="C95" s="55"/>
      <c r="D95" s="107">
        <v>46220.0</v>
      </c>
      <c r="E95" s="42" t="s">
        <v>27</v>
      </c>
      <c r="F95" s="126"/>
      <c r="G95" s="43">
        <v>3163.2</v>
      </c>
      <c r="H95" s="49">
        <f t="shared" si="1"/>
        <v>406199.76</v>
      </c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</row>
    <row r="96">
      <c r="A96" s="50" t="s">
        <v>157</v>
      </c>
      <c r="B96" s="148" t="s">
        <v>233</v>
      </c>
      <c r="C96" s="55"/>
      <c r="D96" s="107">
        <v>46220.0</v>
      </c>
      <c r="E96" s="42" t="s">
        <v>27</v>
      </c>
      <c r="F96" s="126"/>
      <c r="G96" s="43">
        <v>14214.6</v>
      </c>
      <c r="H96" s="49">
        <f t="shared" si="1"/>
        <v>420414.36</v>
      </c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</row>
    <row r="97">
      <c r="A97" s="50" t="s">
        <v>157</v>
      </c>
      <c r="B97" s="148" t="s">
        <v>234</v>
      </c>
      <c r="C97" s="55"/>
      <c r="D97" s="107">
        <v>46226.0</v>
      </c>
      <c r="E97" s="42" t="s">
        <v>27</v>
      </c>
      <c r="F97" s="126"/>
      <c r="G97" s="43">
        <v>-14214.6</v>
      </c>
      <c r="H97" s="49">
        <f t="shared" si="1"/>
        <v>406199.76</v>
      </c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</row>
    <row r="98">
      <c r="A98" s="50" t="s">
        <v>153</v>
      </c>
      <c r="B98" s="152" t="s">
        <v>235</v>
      </c>
      <c r="C98" s="55"/>
      <c r="D98" s="107">
        <v>46227.0</v>
      </c>
      <c r="E98" s="42" t="s">
        <v>27</v>
      </c>
      <c r="F98" s="126"/>
      <c r="G98" s="43">
        <v>-7169.01</v>
      </c>
      <c r="H98" s="49">
        <f t="shared" si="1"/>
        <v>399030.75</v>
      </c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</row>
    <row r="99">
      <c r="A99" s="50" t="s">
        <v>105</v>
      </c>
      <c r="B99" s="81" t="s">
        <v>236</v>
      </c>
      <c r="C99" s="55"/>
      <c r="D99" s="107">
        <v>46227.0</v>
      </c>
      <c r="E99" s="42" t="s">
        <v>27</v>
      </c>
      <c r="F99" s="126"/>
      <c r="G99" s="43">
        <v>-1845.52</v>
      </c>
      <c r="H99" s="49">
        <f t="shared" si="1"/>
        <v>397185.23</v>
      </c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</row>
    <row r="100">
      <c r="A100" s="31" t="s">
        <v>198</v>
      </c>
      <c r="B100" s="81" t="s">
        <v>198</v>
      </c>
      <c r="C100" s="47"/>
      <c r="D100" s="112">
        <v>46230.0</v>
      </c>
      <c r="E100" s="42" t="s">
        <v>148</v>
      </c>
      <c r="F100" s="38"/>
      <c r="G100" s="43">
        <v>-72.62</v>
      </c>
      <c r="H100" s="49">
        <f t="shared" si="1"/>
        <v>397112.61</v>
      </c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</row>
    <row r="101">
      <c r="A101" s="141" t="s">
        <v>118</v>
      </c>
      <c r="B101" s="90" t="s">
        <v>119</v>
      </c>
      <c r="C101" s="91" t="s">
        <v>120</v>
      </c>
      <c r="D101" s="107">
        <v>46237.0</v>
      </c>
      <c r="E101" s="42" t="s">
        <v>27</v>
      </c>
      <c r="F101" s="38"/>
      <c r="G101" s="43">
        <v>-4722.24</v>
      </c>
      <c r="H101" s="49">
        <f t="shared" si="1"/>
        <v>392390.37</v>
      </c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</row>
    <row r="102">
      <c r="A102" s="141" t="s">
        <v>118</v>
      </c>
      <c r="B102" s="93" t="s">
        <v>125</v>
      </c>
      <c r="C102" s="91" t="s">
        <v>126</v>
      </c>
      <c r="D102" s="107">
        <v>46237.0</v>
      </c>
      <c r="E102" s="42" t="s">
        <v>27</v>
      </c>
      <c r="F102" s="38"/>
      <c r="G102" s="43">
        <v>-4722.24</v>
      </c>
      <c r="H102" s="49">
        <f t="shared" si="1"/>
        <v>387668.13</v>
      </c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</row>
    <row r="103">
      <c r="A103" s="141" t="s">
        <v>118</v>
      </c>
      <c r="B103" s="93" t="s">
        <v>132</v>
      </c>
      <c r="C103" s="98" t="s">
        <v>135</v>
      </c>
      <c r="D103" s="107">
        <v>46237.0</v>
      </c>
      <c r="E103" s="42" t="s">
        <v>27</v>
      </c>
      <c r="F103" s="38"/>
      <c r="G103" s="43">
        <v>-4722.24</v>
      </c>
      <c r="H103" s="49">
        <f t="shared" si="1"/>
        <v>382945.89</v>
      </c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</row>
    <row r="104">
      <c r="A104" s="141" t="s">
        <v>118</v>
      </c>
      <c r="B104" s="93" t="s">
        <v>222</v>
      </c>
      <c r="C104" s="127" t="s">
        <v>180</v>
      </c>
      <c r="D104" s="107">
        <v>46237.0</v>
      </c>
      <c r="E104" s="42" t="s">
        <v>27</v>
      </c>
      <c r="F104" s="38"/>
      <c r="G104" s="43">
        <v>-4722.24</v>
      </c>
      <c r="H104" s="49">
        <f t="shared" si="1"/>
        <v>378223.65</v>
      </c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</row>
    <row r="105">
      <c r="A105" s="155" t="s">
        <v>118</v>
      </c>
      <c r="B105" s="156" t="s">
        <v>239</v>
      </c>
      <c r="C105" s="157">
        <v>1.2229880624E10</v>
      </c>
      <c r="D105" s="107">
        <v>46237.0</v>
      </c>
      <c r="E105" s="42" t="s">
        <v>27</v>
      </c>
      <c r="F105" s="38"/>
      <c r="G105" s="43">
        <v>-1484.0</v>
      </c>
      <c r="H105" s="49">
        <f t="shared" si="1"/>
        <v>376739.65</v>
      </c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</row>
    <row r="106">
      <c r="A106" s="155" t="s">
        <v>118</v>
      </c>
      <c r="B106" s="156" t="s">
        <v>240</v>
      </c>
      <c r="C106" s="158"/>
      <c r="D106" s="107">
        <v>46237.0</v>
      </c>
      <c r="E106" s="42" t="s">
        <v>27</v>
      </c>
      <c r="F106" s="38"/>
      <c r="G106" s="43">
        <v>-1035.74</v>
      </c>
      <c r="H106" s="49">
        <f t="shared" si="1"/>
        <v>375703.91</v>
      </c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</row>
    <row r="107">
      <c r="A107" s="159" t="s">
        <v>241</v>
      </c>
      <c r="B107" s="160" t="s">
        <v>242</v>
      </c>
      <c r="C107" s="161"/>
      <c r="D107" s="162">
        <v>46238.0</v>
      </c>
      <c r="E107" s="163" t="s">
        <v>27</v>
      </c>
      <c r="F107" s="79"/>
      <c r="G107" s="164">
        <v>-13460.0</v>
      </c>
      <c r="H107" s="165">
        <f t="shared" si="1"/>
        <v>362243.91</v>
      </c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</row>
    <row r="108">
      <c r="A108" s="159"/>
      <c r="B108" s="160"/>
      <c r="C108" s="161"/>
      <c r="D108" s="162"/>
      <c r="E108" s="163"/>
      <c r="F108" s="79"/>
      <c r="G108" s="164"/>
      <c r="H108" s="165">
        <f t="shared" si="1"/>
        <v>362243.91</v>
      </c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</row>
    <row r="109">
      <c r="A109" s="159"/>
      <c r="B109" s="160"/>
      <c r="C109" s="161"/>
      <c r="D109" s="162"/>
      <c r="E109" s="163"/>
      <c r="F109" s="79"/>
      <c r="G109" s="164"/>
      <c r="H109" s="165">
        <f t="shared" si="1"/>
        <v>362243.91</v>
      </c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</row>
    <row r="110">
      <c r="A110" s="159"/>
      <c r="B110" s="160"/>
      <c r="C110" s="161"/>
      <c r="D110" s="162"/>
      <c r="E110" s="163"/>
      <c r="F110" s="79"/>
      <c r="G110" s="164"/>
      <c r="H110" s="165">
        <f t="shared" si="1"/>
        <v>362243.91</v>
      </c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</row>
    <row r="111">
      <c r="A111" s="159"/>
      <c r="B111" s="160"/>
      <c r="C111" s="161"/>
      <c r="D111" s="162"/>
      <c r="E111" s="163"/>
      <c r="F111" s="79"/>
      <c r="G111" s="164"/>
      <c r="H111" s="165">
        <f t="shared" si="1"/>
        <v>362243.91</v>
      </c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</row>
    <row r="112">
      <c r="A112" s="159"/>
      <c r="B112" s="160"/>
      <c r="C112" s="161"/>
      <c r="D112" s="162"/>
      <c r="E112" s="163"/>
      <c r="F112" s="79"/>
      <c r="G112" s="164"/>
      <c r="H112" s="165">
        <f t="shared" si="1"/>
        <v>362243.91</v>
      </c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</row>
    <row r="113">
      <c r="A113" s="159"/>
      <c r="B113" s="160"/>
      <c r="C113" s="161"/>
      <c r="D113" s="162"/>
      <c r="E113" s="163"/>
      <c r="F113" s="79"/>
      <c r="G113" s="164"/>
      <c r="H113" s="165">
        <f t="shared" si="1"/>
        <v>362243.91</v>
      </c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</row>
    <row r="114">
      <c r="A114" s="159"/>
      <c r="B114" s="160"/>
      <c r="C114" s="161"/>
      <c r="D114" s="162"/>
      <c r="E114" s="163"/>
      <c r="F114" s="79"/>
      <c r="G114" s="164"/>
      <c r="H114" s="165">
        <f t="shared" si="1"/>
        <v>362243.91</v>
      </c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</row>
    <row r="115">
      <c r="A115" s="159"/>
      <c r="B115" s="160"/>
      <c r="C115" s="161"/>
      <c r="D115" s="162"/>
      <c r="E115" s="163"/>
      <c r="F115" s="79"/>
      <c r="G115" s="164"/>
      <c r="H115" s="165">
        <f t="shared" si="1"/>
        <v>362243.91</v>
      </c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</row>
    <row r="116">
      <c r="A116" s="159"/>
      <c r="B116" s="160"/>
      <c r="C116" s="161"/>
      <c r="D116" s="162"/>
      <c r="E116" s="163"/>
      <c r="F116" s="79"/>
      <c r="G116" s="164"/>
      <c r="H116" s="165">
        <f t="shared" si="1"/>
        <v>362243.91</v>
      </c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</row>
    <row r="117">
      <c r="A117" s="159"/>
      <c r="B117" s="160"/>
      <c r="C117" s="161"/>
      <c r="D117" s="162"/>
      <c r="E117" s="163"/>
      <c r="F117" s="79"/>
      <c r="G117" s="164"/>
      <c r="H117" s="165">
        <f t="shared" si="1"/>
        <v>362243.91</v>
      </c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</row>
    <row r="118">
      <c r="A118" s="159"/>
      <c r="B118" s="160"/>
      <c r="C118" s="161"/>
      <c r="D118" s="162"/>
      <c r="E118" s="163"/>
      <c r="F118" s="79"/>
      <c r="G118" s="164"/>
      <c r="H118" s="165">
        <f t="shared" si="1"/>
        <v>362243.91</v>
      </c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</row>
    <row r="119">
      <c r="A119" s="159"/>
      <c r="B119" s="160"/>
      <c r="C119" s="161"/>
      <c r="D119" s="162"/>
      <c r="E119" s="163"/>
      <c r="F119" s="79"/>
      <c r="G119" s="164"/>
      <c r="H119" s="165">
        <f t="shared" si="1"/>
        <v>362243.91</v>
      </c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</row>
    <row r="120">
      <c r="A120" s="159"/>
      <c r="B120" s="160"/>
      <c r="C120" s="161"/>
      <c r="D120" s="162"/>
      <c r="E120" s="163"/>
      <c r="F120" s="79"/>
      <c r="G120" s="164"/>
      <c r="H120" s="165">
        <f t="shared" si="1"/>
        <v>362243.91</v>
      </c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</row>
    <row r="121">
      <c r="A121" s="159"/>
      <c r="B121" s="160"/>
      <c r="C121" s="161"/>
      <c r="D121" s="162"/>
      <c r="E121" s="163"/>
      <c r="F121" s="79"/>
      <c r="G121" s="164"/>
      <c r="H121" s="165">
        <f t="shared" si="1"/>
        <v>362243.91</v>
      </c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</row>
    <row r="122">
      <c r="A122" s="159"/>
      <c r="B122" s="160"/>
      <c r="C122" s="161"/>
      <c r="D122" s="162"/>
      <c r="E122" s="163"/>
      <c r="F122" s="79"/>
      <c r="G122" s="164"/>
      <c r="H122" s="165">
        <f t="shared" si="1"/>
        <v>362243.91</v>
      </c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</row>
    <row r="123">
      <c r="A123" s="159"/>
      <c r="B123" s="160"/>
      <c r="C123" s="161"/>
      <c r="D123" s="162"/>
      <c r="E123" s="163"/>
      <c r="F123" s="79"/>
      <c r="G123" s="164"/>
      <c r="H123" s="165">
        <f t="shared" si="1"/>
        <v>362243.91</v>
      </c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</row>
    <row r="124">
      <c r="A124" s="159"/>
      <c r="B124" s="160"/>
      <c r="C124" s="161"/>
      <c r="D124" s="162"/>
      <c r="E124" s="163"/>
      <c r="F124" s="79"/>
      <c r="G124" s="164"/>
      <c r="H124" s="165">
        <f t="shared" si="1"/>
        <v>362243.91</v>
      </c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</row>
    <row r="125">
      <c r="A125" s="159"/>
      <c r="B125" s="160"/>
      <c r="C125" s="161"/>
      <c r="D125" s="162"/>
      <c r="E125" s="163"/>
      <c r="F125" s="79"/>
      <c r="G125" s="164"/>
      <c r="H125" s="165">
        <f t="shared" si="1"/>
        <v>362243.91</v>
      </c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</row>
    <row r="126">
      <c r="A126" s="159"/>
      <c r="B126" s="160"/>
      <c r="C126" s="161"/>
      <c r="D126" s="162"/>
      <c r="E126" s="163"/>
      <c r="F126" s="79"/>
      <c r="G126" s="164"/>
      <c r="H126" s="165">
        <f t="shared" si="1"/>
        <v>362243.91</v>
      </c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</row>
    <row r="127">
      <c r="A127" s="159"/>
      <c r="B127" s="160"/>
      <c r="C127" s="161"/>
      <c r="D127" s="162"/>
      <c r="E127" s="163"/>
      <c r="F127" s="79"/>
      <c r="G127" s="164"/>
      <c r="H127" s="165">
        <f t="shared" si="1"/>
        <v>362243.91</v>
      </c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</row>
    <row r="128">
      <c r="A128" s="159"/>
      <c r="B128" s="160"/>
      <c r="C128" s="161"/>
      <c r="D128" s="162"/>
      <c r="E128" s="163"/>
      <c r="F128" s="79"/>
      <c r="G128" s="164"/>
      <c r="H128" s="165">
        <f t="shared" si="1"/>
        <v>362243.91</v>
      </c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</row>
    <row r="129">
      <c r="A129" s="159"/>
      <c r="B129" s="160"/>
      <c r="C129" s="161"/>
      <c r="D129" s="162"/>
      <c r="E129" s="163"/>
      <c r="F129" s="79"/>
      <c r="G129" s="164"/>
      <c r="H129" s="165">
        <f t="shared" si="1"/>
        <v>362243.91</v>
      </c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</row>
    <row r="130">
      <c r="A130" s="159"/>
      <c r="B130" s="160"/>
      <c r="C130" s="161"/>
      <c r="D130" s="162"/>
      <c r="E130" s="163"/>
      <c r="F130" s="79"/>
      <c r="G130" s="164"/>
      <c r="H130" s="165">
        <f t="shared" si="1"/>
        <v>362243.91</v>
      </c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</row>
    <row r="131">
      <c r="A131" s="159"/>
      <c r="B131" s="160"/>
      <c r="C131" s="161"/>
      <c r="D131" s="162"/>
      <c r="E131" s="163"/>
      <c r="F131" s="79"/>
      <c r="G131" s="164"/>
      <c r="H131" s="165">
        <f t="shared" si="1"/>
        <v>362243.91</v>
      </c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</row>
    <row r="132">
      <c r="A132" s="159"/>
      <c r="B132" s="160"/>
      <c r="C132" s="161"/>
      <c r="D132" s="162"/>
      <c r="E132" s="163"/>
      <c r="F132" s="79"/>
      <c r="G132" s="164"/>
      <c r="H132" s="165">
        <f t="shared" si="1"/>
        <v>362243.91</v>
      </c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</row>
    <row r="133">
      <c r="A133" s="159"/>
      <c r="B133" s="160"/>
      <c r="C133" s="161"/>
      <c r="D133" s="162"/>
      <c r="E133" s="163"/>
      <c r="F133" s="79"/>
      <c r="G133" s="164"/>
      <c r="H133" s="165">
        <f t="shared" si="1"/>
        <v>362243.91</v>
      </c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</row>
    <row r="134">
      <c r="A134" s="159"/>
      <c r="B134" s="160"/>
      <c r="C134" s="161"/>
      <c r="D134" s="162"/>
      <c r="E134" s="163"/>
      <c r="F134" s="79"/>
      <c r="G134" s="164"/>
      <c r="H134" s="165">
        <f t="shared" si="1"/>
        <v>362243.91</v>
      </c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</row>
    <row r="135">
      <c r="A135" s="159"/>
      <c r="B135" s="160"/>
      <c r="C135" s="161"/>
      <c r="D135" s="162"/>
      <c r="E135" s="163"/>
      <c r="F135" s="79"/>
      <c r="G135" s="164"/>
      <c r="H135" s="165">
        <f t="shared" si="1"/>
        <v>362243.91</v>
      </c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</row>
    <row r="136">
      <c r="A136" s="159"/>
      <c r="B136" s="160"/>
      <c r="C136" s="161"/>
      <c r="D136" s="162"/>
      <c r="E136" s="163"/>
      <c r="F136" s="79"/>
      <c r="G136" s="164"/>
      <c r="H136" s="165">
        <f t="shared" si="1"/>
        <v>362243.91</v>
      </c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</row>
    <row r="137">
      <c r="A137" s="159"/>
      <c r="B137" s="160"/>
      <c r="C137" s="161"/>
      <c r="D137" s="162"/>
      <c r="E137" s="163"/>
      <c r="F137" s="79"/>
      <c r="G137" s="164"/>
      <c r="H137" s="165">
        <f t="shared" si="1"/>
        <v>362243.91</v>
      </c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</row>
    <row r="138">
      <c r="A138" s="159"/>
      <c r="B138" s="160"/>
      <c r="C138" s="161"/>
      <c r="D138" s="162"/>
      <c r="E138" s="163"/>
      <c r="F138" s="79"/>
      <c r="G138" s="164"/>
      <c r="H138" s="165">
        <f t="shared" si="1"/>
        <v>362243.91</v>
      </c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</row>
    <row r="139">
      <c r="A139" s="159"/>
      <c r="B139" s="160"/>
      <c r="C139" s="161"/>
      <c r="D139" s="162"/>
      <c r="E139" s="163"/>
      <c r="F139" s="79"/>
      <c r="G139" s="164"/>
      <c r="H139" s="165">
        <f t="shared" si="1"/>
        <v>362243.91</v>
      </c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</row>
    <row r="140">
      <c r="A140" s="159"/>
      <c r="B140" s="160"/>
      <c r="C140" s="161"/>
      <c r="D140" s="162"/>
      <c r="E140" s="163"/>
      <c r="F140" s="79"/>
      <c r="G140" s="164"/>
      <c r="H140" s="165">
        <f t="shared" si="1"/>
        <v>362243.91</v>
      </c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</row>
    <row r="141">
      <c r="A141" s="159"/>
      <c r="B141" s="160"/>
      <c r="C141" s="161"/>
      <c r="D141" s="162"/>
      <c r="E141" s="163"/>
      <c r="F141" s="79"/>
      <c r="G141" s="164"/>
      <c r="H141" s="165">
        <f t="shared" si="1"/>
        <v>362243.91</v>
      </c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</row>
    <row r="142">
      <c r="A142" s="159"/>
      <c r="B142" s="160"/>
      <c r="C142" s="161"/>
      <c r="D142" s="162"/>
      <c r="E142" s="163"/>
      <c r="F142" s="79"/>
      <c r="G142" s="164"/>
      <c r="H142" s="165">
        <f t="shared" si="1"/>
        <v>362243.91</v>
      </c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</row>
    <row r="143">
      <c r="A143" s="159"/>
      <c r="B143" s="160"/>
      <c r="C143" s="161"/>
      <c r="D143" s="162"/>
      <c r="E143" s="163"/>
      <c r="F143" s="79"/>
      <c r="G143" s="164"/>
      <c r="H143" s="165">
        <f t="shared" si="1"/>
        <v>362243.91</v>
      </c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</row>
    <row r="144">
      <c r="A144" s="159"/>
      <c r="B144" s="160"/>
      <c r="C144" s="161"/>
      <c r="D144" s="162"/>
      <c r="E144" s="163"/>
      <c r="F144" s="79"/>
      <c r="G144" s="164"/>
      <c r="H144" s="165">
        <f t="shared" si="1"/>
        <v>362243.91</v>
      </c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</row>
    <row r="145">
      <c r="A145" s="159"/>
      <c r="B145" s="160"/>
      <c r="C145" s="161"/>
      <c r="D145" s="162"/>
      <c r="E145" s="163"/>
      <c r="F145" s="79"/>
      <c r="G145" s="164"/>
      <c r="H145" s="165">
        <f t="shared" si="1"/>
        <v>362243.91</v>
      </c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</row>
    <row r="146">
      <c r="A146" s="159"/>
      <c r="B146" s="160"/>
      <c r="C146" s="161"/>
      <c r="D146" s="162"/>
      <c r="E146" s="163"/>
      <c r="F146" s="79"/>
      <c r="G146" s="164"/>
      <c r="H146" s="165">
        <f t="shared" si="1"/>
        <v>362243.91</v>
      </c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</row>
    <row r="147">
      <c r="A147" s="159"/>
      <c r="B147" s="160"/>
      <c r="C147" s="161"/>
      <c r="D147" s="162"/>
      <c r="E147" s="163"/>
      <c r="F147" s="79"/>
      <c r="G147" s="164"/>
      <c r="H147" s="165">
        <f t="shared" si="1"/>
        <v>362243.91</v>
      </c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</row>
    <row r="148">
      <c r="A148" s="159"/>
      <c r="B148" s="160"/>
      <c r="C148" s="161"/>
      <c r="D148" s="162"/>
      <c r="E148" s="163"/>
      <c r="F148" s="79"/>
      <c r="G148" s="164"/>
      <c r="H148" s="165">
        <f t="shared" si="1"/>
        <v>362243.91</v>
      </c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</row>
    <row r="149">
      <c r="A149" s="159"/>
      <c r="B149" s="160"/>
      <c r="C149" s="161"/>
      <c r="D149" s="162"/>
      <c r="E149" s="163"/>
      <c r="F149" s="79"/>
      <c r="G149" s="164"/>
      <c r="H149" s="165">
        <f t="shared" si="1"/>
        <v>362243.91</v>
      </c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</row>
    <row r="150">
      <c r="A150" s="159"/>
      <c r="B150" s="160"/>
      <c r="C150" s="161"/>
      <c r="D150" s="162"/>
      <c r="E150" s="163"/>
      <c r="F150" s="79"/>
      <c r="G150" s="164"/>
      <c r="H150" s="165">
        <f t="shared" si="1"/>
        <v>362243.91</v>
      </c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</row>
    <row r="151">
      <c r="A151" s="159"/>
      <c r="B151" s="160"/>
      <c r="C151" s="161"/>
      <c r="D151" s="162"/>
      <c r="E151" s="163"/>
      <c r="F151" s="79"/>
      <c r="G151" s="164"/>
      <c r="H151" s="165">
        <f t="shared" si="1"/>
        <v>362243.91</v>
      </c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</row>
    <row r="152">
      <c r="A152" s="159"/>
      <c r="B152" s="160"/>
      <c r="C152" s="161"/>
      <c r="D152" s="162"/>
      <c r="E152" s="163"/>
      <c r="F152" s="79"/>
      <c r="G152" s="164"/>
      <c r="H152" s="165">
        <f t="shared" si="1"/>
        <v>362243.91</v>
      </c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</row>
    <row r="153">
      <c r="A153" s="159"/>
      <c r="B153" s="160"/>
      <c r="C153" s="161"/>
      <c r="D153" s="162"/>
      <c r="E153" s="163"/>
      <c r="F153" s="79"/>
      <c r="G153" s="164"/>
      <c r="H153" s="165">
        <f t="shared" si="1"/>
        <v>362243.91</v>
      </c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</row>
    <row r="154">
      <c r="A154" s="159"/>
      <c r="B154" s="160"/>
      <c r="C154" s="161"/>
      <c r="D154" s="162"/>
      <c r="E154" s="163"/>
      <c r="F154" s="79"/>
      <c r="G154" s="164"/>
      <c r="H154" s="165">
        <f t="shared" si="1"/>
        <v>362243.91</v>
      </c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</row>
    <row r="155">
      <c r="A155" s="159"/>
      <c r="B155" s="160"/>
      <c r="C155" s="161"/>
      <c r="D155" s="162"/>
      <c r="E155" s="163"/>
      <c r="F155" s="79"/>
      <c r="G155" s="164"/>
      <c r="H155" s="165">
        <f t="shared" si="1"/>
        <v>362243.91</v>
      </c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</row>
    <row r="156">
      <c r="A156" s="159"/>
      <c r="B156" s="160"/>
      <c r="C156" s="161"/>
      <c r="D156" s="162"/>
      <c r="E156" s="163"/>
      <c r="F156" s="79"/>
      <c r="G156" s="164"/>
      <c r="H156" s="165">
        <f t="shared" si="1"/>
        <v>362243.91</v>
      </c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</row>
    <row r="157">
      <c r="A157" s="159"/>
      <c r="B157" s="160"/>
      <c r="C157" s="161"/>
      <c r="D157" s="162"/>
      <c r="E157" s="163"/>
      <c r="F157" s="79"/>
      <c r="G157" s="164"/>
      <c r="H157" s="165">
        <f t="shared" si="1"/>
        <v>362243.91</v>
      </c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</row>
    <row r="158">
      <c r="A158" s="159"/>
      <c r="B158" s="160"/>
      <c r="C158" s="161"/>
      <c r="D158" s="162"/>
      <c r="E158" s="163"/>
      <c r="F158" s="79"/>
      <c r="G158" s="164"/>
      <c r="H158" s="165">
        <f t="shared" si="1"/>
        <v>362243.91</v>
      </c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</row>
    <row r="159">
      <c r="A159" s="159"/>
      <c r="B159" s="160"/>
      <c r="C159" s="161"/>
      <c r="D159" s="162"/>
      <c r="E159" s="163"/>
      <c r="F159" s="79"/>
      <c r="G159" s="164"/>
      <c r="H159" s="165">
        <f t="shared" si="1"/>
        <v>362243.91</v>
      </c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</row>
    <row r="160">
      <c r="A160" s="159"/>
      <c r="B160" s="160"/>
      <c r="C160" s="161"/>
      <c r="D160" s="162"/>
      <c r="E160" s="163"/>
      <c r="F160" s="79"/>
      <c r="G160" s="164"/>
      <c r="H160" s="165">
        <f t="shared" si="1"/>
        <v>362243.91</v>
      </c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</row>
    <row r="161">
      <c r="A161" s="159"/>
      <c r="B161" s="160"/>
      <c r="C161" s="161"/>
      <c r="D161" s="162"/>
      <c r="E161" s="163"/>
      <c r="F161" s="79"/>
      <c r="G161" s="164"/>
      <c r="H161" s="165">
        <f t="shared" si="1"/>
        <v>362243.91</v>
      </c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</row>
    <row r="162">
      <c r="A162" s="159"/>
      <c r="B162" s="160"/>
      <c r="C162" s="161"/>
      <c r="D162" s="162"/>
      <c r="E162" s="163"/>
      <c r="F162" s="79"/>
      <c r="G162" s="164"/>
      <c r="H162" s="165">
        <f t="shared" si="1"/>
        <v>362243.91</v>
      </c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</row>
    <row r="163">
      <c r="A163" s="159"/>
      <c r="B163" s="160"/>
      <c r="C163" s="161"/>
      <c r="D163" s="162"/>
      <c r="E163" s="163"/>
      <c r="F163" s="79"/>
      <c r="G163" s="164"/>
      <c r="H163" s="165">
        <f t="shared" si="1"/>
        <v>362243.91</v>
      </c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</row>
    <row r="164">
      <c r="A164" s="159"/>
      <c r="B164" s="160"/>
      <c r="C164" s="161"/>
      <c r="D164" s="162"/>
      <c r="E164" s="163"/>
      <c r="F164" s="79"/>
      <c r="G164" s="164"/>
      <c r="H164" s="165">
        <f t="shared" si="1"/>
        <v>362243.91</v>
      </c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</row>
    <row r="165">
      <c r="A165" s="159"/>
      <c r="B165" s="160"/>
      <c r="C165" s="161"/>
      <c r="D165" s="162"/>
      <c r="E165" s="163"/>
      <c r="F165" s="79"/>
      <c r="G165" s="164"/>
      <c r="H165" s="165">
        <f t="shared" si="1"/>
        <v>362243.91</v>
      </c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</row>
    <row r="166">
      <c r="A166" s="159"/>
      <c r="B166" s="160"/>
      <c r="C166" s="161"/>
      <c r="D166" s="162"/>
      <c r="E166" s="163"/>
      <c r="F166" s="79"/>
      <c r="G166" s="164"/>
      <c r="H166" s="165">
        <f t="shared" si="1"/>
        <v>362243.91</v>
      </c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</row>
    <row r="167">
      <c r="A167" s="159"/>
      <c r="B167" s="160"/>
      <c r="C167" s="161"/>
      <c r="D167" s="162"/>
      <c r="E167" s="163"/>
      <c r="F167" s="79"/>
      <c r="G167" s="164"/>
      <c r="H167" s="165">
        <f t="shared" si="1"/>
        <v>362243.91</v>
      </c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</row>
    <row r="168">
      <c r="A168" s="159"/>
      <c r="B168" s="160"/>
      <c r="C168" s="161"/>
      <c r="D168" s="162"/>
      <c r="E168" s="163"/>
      <c r="F168" s="79"/>
      <c r="G168" s="164"/>
      <c r="H168" s="165">
        <f t="shared" si="1"/>
        <v>362243.91</v>
      </c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</row>
    <row r="169">
      <c r="A169" s="159"/>
      <c r="B169" s="160"/>
      <c r="C169" s="161"/>
      <c r="D169" s="162"/>
      <c r="E169" s="163"/>
      <c r="F169" s="79"/>
      <c r="G169" s="164"/>
      <c r="H169" s="165">
        <f t="shared" si="1"/>
        <v>362243.91</v>
      </c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</row>
    <row r="170">
      <c r="A170" s="159"/>
      <c r="B170" s="160"/>
      <c r="C170" s="161"/>
      <c r="D170" s="162"/>
      <c r="E170" s="163"/>
      <c r="F170" s="79"/>
      <c r="G170" s="164"/>
      <c r="H170" s="165">
        <f t="shared" si="1"/>
        <v>362243.91</v>
      </c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</row>
    <row r="171">
      <c r="A171" s="159"/>
      <c r="B171" s="160"/>
      <c r="C171" s="161"/>
      <c r="D171" s="162"/>
      <c r="E171" s="163"/>
      <c r="F171" s="79"/>
      <c r="G171" s="164"/>
      <c r="H171" s="165">
        <f t="shared" si="1"/>
        <v>362243.91</v>
      </c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</row>
    <row r="172">
      <c r="A172" s="159"/>
      <c r="B172" s="160"/>
      <c r="C172" s="161"/>
      <c r="D172" s="162"/>
      <c r="E172" s="163"/>
      <c r="F172" s="79"/>
      <c r="G172" s="164"/>
      <c r="H172" s="165">
        <f t="shared" si="1"/>
        <v>362243.91</v>
      </c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</row>
    <row r="173">
      <c r="A173" s="159"/>
      <c r="B173" s="160"/>
      <c r="C173" s="161"/>
      <c r="D173" s="162"/>
      <c r="E173" s="163"/>
      <c r="F173" s="79"/>
      <c r="G173" s="164"/>
      <c r="H173" s="165">
        <f t="shared" si="1"/>
        <v>362243.91</v>
      </c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</row>
    <row r="174">
      <c r="A174" s="159"/>
      <c r="B174" s="160"/>
      <c r="C174" s="161"/>
      <c r="D174" s="162"/>
      <c r="E174" s="163"/>
      <c r="F174" s="79"/>
      <c r="G174" s="164"/>
      <c r="H174" s="165">
        <f t="shared" si="1"/>
        <v>362243.91</v>
      </c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</row>
    <row r="175">
      <c r="A175" s="159"/>
      <c r="B175" s="160"/>
      <c r="C175" s="161"/>
      <c r="D175" s="162"/>
      <c r="E175" s="163"/>
      <c r="F175" s="79"/>
      <c r="G175" s="164"/>
      <c r="H175" s="165">
        <f t="shared" si="1"/>
        <v>362243.91</v>
      </c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</row>
    <row r="176">
      <c r="A176" s="159"/>
      <c r="B176" s="160"/>
      <c r="C176" s="161"/>
      <c r="D176" s="162"/>
      <c r="E176" s="163"/>
      <c r="F176" s="79"/>
      <c r="G176" s="164"/>
      <c r="H176" s="165">
        <f t="shared" si="1"/>
        <v>362243.91</v>
      </c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</row>
    <row r="177">
      <c r="A177" s="159"/>
      <c r="B177" s="160"/>
      <c r="C177" s="161"/>
      <c r="D177" s="162"/>
      <c r="E177" s="163"/>
      <c r="F177" s="79"/>
      <c r="G177" s="164"/>
      <c r="H177" s="165">
        <f t="shared" si="1"/>
        <v>362243.91</v>
      </c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</row>
    <row r="178">
      <c r="A178" s="159"/>
      <c r="B178" s="160"/>
      <c r="C178" s="161"/>
      <c r="D178" s="162"/>
      <c r="E178" s="163"/>
      <c r="F178" s="79"/>
      <c r="G178" s="164"/>
      <c r="H178" s="165">
        <f t="shared" si="1"/>
        <v>362243.91</v>
      </c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</row>
    <row r="179">
      <c r="A179" s="159"/>
      <c r="B179" s="160"/>
      <c r="C179" s="161"/>
      <c r="D179" s="162"/>
      <c r="E179" s="163"/>
      <c r="F179" s="79"/>
      <c r="G179" s="164"/>
      <c r="H179" s="165">
        <f t="shared" si="1"/>
        <v>362243.91</v>
      </c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</row>
    <row r="180">
      <c r="A180" s="159"/>
      <c r="B180" s="160"/>
      <c r="C180" s="161"/>
      <c r="D180" s="162"/>
      <c r="E180" s="163"/>
      <c r="F180" s="79"/>
      <c r="G180" s="164"/>
      <c r="H180" s="165">
        <f t="shared" si="1"/>
        <v>362243.91</v>
      </c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</row>
    <row r="181">
      <c r="A181" s="159"/>
      <c r="B181" s="160"/>
      <c r="C181" s="161"/>
      <c r="D181" s="162"/>
      <c r="E181" s="163"/>
      <c r="F181" s="79"/>
      <c r="G181" s="164"/>
      <c r="H181" s="165">
        <f t="shared" si="1"/>
        <v>362243.91</v>
      </c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</row>
    <row r="182">
      <c r="A182" s="159"/>
      <c r="B182" s="160"/>
      <c r="C182" s="161"/>
      <c r="D182" s="162"/>
      <c r="E182" s="163"/>
      <c r="F182" s="79"/>
      <c r="G182" s="164"/>
      <c r="H182" s="165">
        <f t="shared" si="1"/>
        <v>362243.91</v>
      </c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</row>
    <row r="183">
      <c r="A183" s="159"/>
      <c r="B183" s="160"/>
      <c r="C183" s="161"/>
      <c r="D183" s="162"/>
      <c r="E183" s="163"/>
      <c r="F183" s="79"/>
      <c r="G183" s="164"/>
      <c r="H183" s="165">
        <f t="shared" si="1"/>
        <v>362243.91</v>
      </c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</row>
    <row r="184">
      <c r="A184" s="159"/>
      <c r="B184" s="160"/>
      <c r="C184" s="161"/>
      <c r="D184" s="162"/>
      <c r="E184" s="163"/>
      <c r="F184" s="79"/>
      <c r="G184" s="164"/>
      <c r="H184" s="165">
        <f t="shared" si="1"/>
        <v>362243.91</v>
      </c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</row>
    <row r="185">
      <c r="A185" s="159"/>
      <c r="B185" s="160"/>
      <c r="C185" s="161"/>
      <c r="D185" s="162"/>
      <c r="E185" s="163"/>
      <c r="F185" s="79"/>
      <c r="G185" s="164"/>
      <c r="H185" s="165">
        <f t="shared" si="1"/>
        <v>362243.91</v>
      </c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</row>
    <row r="186">
      <c r="A186" s="159"/>
      <c r="B186" s="160"/>
      <c r="C186" s="161"/>
      <c r="D186" s="162"/>
      <c r="E186" s="163"/>
      <c r="F186" s="79"/>
      <c r="G186" s="164"/>
      <c r="H186" s="165">
        <f t="shared" si="1"/>
        <v>362243.91</v>
      </c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</row>
    <row r="187">
      <c r="A187" s="159"/>
      <c r="B187" s="160"/>
      <c r="C187" s="161"/>
      <c r="D187" s="162"/>
      <c r="E187" s="163"/>
      <c r="F187" s="79"/>
      <c r="G187" s="164"/>
      <c r="H187" s="165">
        <f t="shared" si="1"/>
        <v>362243.91</v>
      </c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</row>
    <row r="188">
      <c r="A188" s="159"/>
      <c r="B188" s="160"/>
      <c r="C188" s="161"/>
      <c r="D188" s="162"/>
      <c r="E188" s="163"/>
      <c r="F188" s="79"/>
      <c r="G188" s="164"/>
      <c r="H188" s="165">
        <f t="shared" si="1"/>
        <v>362243.91</v>
      </c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</row>
    <row r="189">
      <c r="A189" s="159"/>
      <c r="B189" s="160"/>
      <c r="C189" s="161"/>
      <c r="D189" s="162"/>
      <c r="E189" s="163"/>
      <c r="F189" s="79"/>
      <c r="G189" s="164"/>
      <c r="H189" s="165">
        <f t="shared" si="1"/>
        <v>362243.91</v>
      </c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</row>
    <row r="190">
      <c r="A190" s="159"/>
      <c r="B190" s="160"/>
      <c r="C190" s="161"/>
      <c r="D190" s="162"/>
      <c r="E190" s="163"/>
      <c r="F190" s="79"/>
      <c r="G190" s="164"/>
      <c r="H190" s="165">
        <f t="shared" si="1"/>
        <v>362243.91</v>
      </c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</row>
    <row r="191">
      <c r="A191" s="159"/>
      <c r="B191" s="160"/>
      <c r="C191" s="161"/>
      <c r="D191" s="162"/>
      <c r="E191" s="163"/>
      <c r="F191" s="79"/>
      <c r="G191" s="164"/>
      <c r="H191" s="165">
        <f t="shared" si="1"/>
        <v>362243.91</v>
      </c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</row>
    <row r="192">
      <c r="A192" s="159"/>
      <c r="B192" s="160"/>
      <c r="C192" s="161"/>
      <c r="D192" s="162"/>
      <c r="E192" s="163"/>
      <c r="F192" s="79"/>
      <c r="G192" s="164"/>
      <c r="H192" s="165">
        <f t="shared" si="1"/>
        <v>362243.91</v>
      </c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</row>
    <row r="193">
      <c r="A193" s="159"/>
      <c r="B193" s="160"/>
      <c r="C193" s="161"/>
      <c r="D193" s="162"/>
      <c r="E193" s="163"/>
      <c r="F193" s="79"/>
      <c r="G193" s="164"/>
      <c r="H193" s="165">
        <f t="shared" si="1"/>
        <v>362243.91</v>
      </c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</row>
    <row r="194">
      <c r="A194" s="159"/>
      <c r="B194" s="160"/>
      <c r="C194" s="161"/>
      <c r="D194" s="162"/>
      <c r="E194" s="163"/>
      <c r="F194" s="79"/>
      <c r="G194" s="164"/>
      <c r="H194" s="165">
        <f t="shared" si="1"/>
        <v>362243.91</v>
      </c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</row>
    <row r="195">
      <c r="A195" s="159"/>
      <c r="B195" s="160"/>
      <c r="C195" s="161"/>
      <c r="D195" s="162"/>
      <c r="E195" s="163"/>
      <c r="F195" s="79"/>
      <c r="G195" s="164"/>
      <c r="H195" s="165">
        <f t="shared" si="1"/>
        <v>362243.91</v>
      </c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</row>
    <row r="196">
      <c r="A196" s="159"/>
      <c r="B196" s="160"/>
      <c r="C196" s="161"/>
      <c r="D196" s="162"/>
      <c r="E196" s="163"/>
      <c r="F196" s="79"/>
      <c r="G196" s="164"/>
      <c r="H196" s="165">
        <f t="shared" si="1"/>
        <v>362243.91</v>
      </c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</row>
    <row r="197">
      <c r="A197" s="159"/>
      <c r="B197" s="160"/>
      <c r="C197" s="161"/>
      <c r="D197" s="162"/>
      <c r="E197" s="163"/>
      <c r="F197" s="79"/>
      <c r="G197" s="164"/>
      <c r="H197" s="165">
        <f t="shared" si="1"/>
        <v>362243.91</v>
      </c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</row>
    <row r="198">
      <c r="A198" s="159"/>
      <c r="B198" s="160"/>
      <c r="C198" s="161"/>
      <c r="D198" s="162"/>
      <c r="E198" s="163"/>
      <c r="F198" s="79"/>
      <c r="G198" s="164"/>
      <c r="H198" s="165">
        <f t="shared" si="1"/>
        <v>362243.91</v>
      </c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</row>
    <row r="199">
      <c r="A199" s="159"/>
      <c r="B199" s="160"/>
      <c r="C199" s="161"/>
      <c r="D199" s="162"/>
      <c r="E199" s="163"/>
      <c r="F199" s="79"/>
      <c r="G199" s="164"/>
      <c r="H199" s="165">
        <f t="shared" si="1"/>
        <v>362243.91</v>
      </c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</row>
    <row r="200">
      <c r="A200" s="159"/>
      <c r="B200" s="160"/>
      <c r="C200" s="161"/>
      <c r="D200" s="162"/>
      <c r="E200" s="163"/>
      <c r="F200" s="79"/>
      <c r="G200" s="164"/>
      <c r="H200" s="165">
        <f t="shared" si="1"/>
        <v>362243.91</v>
      </c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</row>
    <row r="201">
      <c r="A201" s="159"/>
      <c r="B201" s="160"/>
      <c r="C201" s="161"/>
      <c r="D201" s="162"/>
      <c r="E201" s="163"/>
      <c r="F201" s="79"/>
      <c r="G201" s="164"/>
      <c r="H201" s="165">
        <f t="shared" si="1"/>
        <v>362243.91</v>
      </c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</row>
    <row r="202">
      <c r="A202" s="159"/>
      <c r="B202" s="160"/>
      <c r="C202" s="161"/>
      <c r="D202" s="162"/>
      <c r="E202" s="163"/>
      <c r="F202" s="79"/>
      <c r="G202" s="164"/>
      <c r="H202" s="165">
        <f t="shared" si="1"/>
        <v>362243.91</v>
      </c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</row>
    <row r="203">
      <c r="A203" s="159"/>
      <c r="B203" s="160"/>
      <c r="C203" s="161"/>
      <c r="D203" s="162"/>
      <c r="E203" s="163"/>
      <c r="F203" s="79"/>
      <c r="G203" s="164"/>
      <c r="H203" s="165">
        <f t="shared" si="1"/>
        <v>362243.91</v>
      </c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</row>
    <row r="204">
      <c r="A204" s="159"/>
      <c r="B204" s="160"/>
      <c r="C204" s="161"/>
      <c r="D204" s="162"/>
      <c r="E204" s="163"/>
      <c r="F204" s="79"/>
      <c r="G204" s="164"/>
      <c r="H204" s="165">
        <f t="shared" si="1"/>
        <v>362243.91</v>
      </c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</row>
    <row r="205">
      <c r="A205" s="159"/>
      <c r="B205" s="160"/>
      <c r="C205" s="161"/>
      <c r="D205" s="162"/>
      <c r="E205" s="163"/>
      <c r="F205" s="79"/>
      <c r="G205" s="164"/>
      <c r="H205" s="165">
        <f t="shared" si="1"/>
        <v>362243.91</v>
      </c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</row>
    <row r="206">
      <c r="A206" s="159"/>
      <c r="B206" s="160"/>
      <c r="C206" s="161"/>
      <c r="D206" s="162"/>
      <c r="E206" s="163"/>
      <c r="F206" s="79"/>
      <c r="G206" s="164"/>
      <c r="H206" s="165">
        <f t="shared" si="1"/>
        <v>362243.91</v>
      </c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</row>
    <row r="207">
      <c r="A207" s="159"/>
      <c r="B207" s="160"/>
      <c r="C207" s="161"/>
      <c r="D207" s="162"/>
      <c r="E207" s="163"/>
      <c r="F207" s="79"/>
      <c r="G207" s="164"/>
      <c r="H207" s="165">
        <f t="shared" si="1"/>
        <v>362243.91</v>
      </c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</row>
    <row r="208">
      <c r="A208" s="159"/>
      <c r="B208" s="160"/>
      <c r="C208" s="161"/>
      <c r="D208" s="162"/>
      <c r="E208" s="163"/>
      <c r="F208" s="79"/>
      <c r="G208" s="164"/>
      <c r="H208" s="165">
        <f t="shared" si="1"/>
        <v>362243.91</v>
      </c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</row>
    <row r="209">
      <c r="A209" s="159"/>
      <c r="B209" s="160"/>
      <c r="C209" s="161"/>
      <c r="D209" s="162"/>
      <c r="E209" s="163"/>
      <c r="F209" s="79"/>
      <c r="G209" s="164"/>
      <c r="H209" s="165">
        <f t="shared" si="1"/>
        <v>362243.91</v>
      </c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</row>
    <row r="210">
      <c r="A210" s="159"/>
      <c r="B210" s="160"/>
      <c r="C210" s="161"/>
      <c r="D210" s="162"/>
      <c r="E210" s="163"/>
      <c r="F210" s="79"/>
      <c r="G210" s="164"/>
      <c r="H210" s="165">
        <f t="shared" si="1"/>
        <v>362243.91</v>
      </c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</row>
    <row r="211">
      <c r="A211" s="159"/>
      <c r="B211" s="160"/>
      <c r="C211" s="161"/>
      <c r="D211" s="162"/>
      <c r="E211" s="163"/>
      <c r="F211" s="79"/>
      <c r="G211" s="164"/>
      <c r="H211" s="165">
        <f t="shared" si="1"/>
        <v>362243.91</v>
      </c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</row>
    <row r="212">
      <c r="A212" s="159"/>
      <c r="B212" s="160"/>
      <c r="C212" s="161"/>
      <c r="D212" s="162"/>
      <c r="E212" s="163"/>
      <c r="F212" s="79"/>
      <c r="G212" s="164"/>
      <c r="H212" s="165">
        <f t="shared" si="1"/>
        <v>362243.91</v>
      </c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</row>
    <row r="213">
      <c r="A213" s="159"/>
      <c r="B213" s="160"/>
      <c r="C213" s="161"/>
      <c r="D213" s="162"/>
      <c r="E213" s="163"/>
      <c r="F213" s="79"/>
      <c r="G213" s="164"/>
      <c r="H213" s="165">
        <f t="shared" si="1"/>
        <v>362243.91</v>
      </c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</row>
    <row r="214">
      <c r="A214" s="159"/>
      <c r="B214" s="160"/>
      <c r="C214" s="161"/>
      <c r="D214" s="162"/>
      <c r="E214" s="163"/>
      <c r="F214" s="79"/>
      <c r="G214" s="164"/>
      <c r="H214" s="165">
        <f t="shared" si="1"/>
        <v>362243.91</v>
      </c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</row>
    <row r="215">
      <c r="A215" s="159"/>
      <c r="B215" s="160"/>
      <c r="C215" s="161"/>
      <c r="D215" s="162"/>
      <c r="E215" s="163"/>
      <c r="F215" s="79"/>
      <c r="G215" s="164"/>
      <c r="H215" s="165">
        <f t="shared" si="1"/>
        <v>362243.91</v>
      </c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</row>
    <row r="216">
      <c r="A216" s="159"/>
      <c r="B216" s="160"/>
      <c r="C216" s="161"/>
      <c r="D216" s="162"/>
      <c r="E216" s="163"/>
      <c r="F216" s="79"/>
      <c r="G216" s="164"/>
      <c r="H216" s="165">
        <f t="shared" si="1"/>
        <v>362243.91</v>
      </c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</row>
    <row r="217">
      <c r="A217" s="159"/>
      <c r="B217" s="160"/>
      <c r="C217" s="161"/>
      <c r="D217" s="162"/>
      <c r="E217" s="163"/>
      <c r="F217" s="79"/>
      <c r="G217" s="164"/>
      <c r="H217" s="165">
        <f t="shared" si="1"/>
        <v>362243.91</v>
      </c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</row>
    <row r="218">
      <c r="A218" s="159"/>
      <c r="B218" s="160"/>
      <c r="C218" s="161"/>
      <c r="D218" s="162"/>
      <c r="E218" s="163"/>
      <c r="F218" s="79"/>
      <c r="G218" s="164"/>
      <c r="H218" s="165">
        <f t="shared" si="1"/>
        <v>362243.91</v>
      </c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</row>
    <row r="219">
      <c r="A219" s="159"/>
      <c r="B219" s="160"/>
      <c r="C219" s="161"/>
      <c r="D219" s="162"/>
      <c r="E219" s="163"/>
      <c r="F219" s="79"/>
      <c r="G219" s="164"/>
      <c r="H219" s="165">
        <f t="shared" si="1"/>
        <v>362243.91</v>
      </c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</row>
    <row r="220">
      <c r="A220" s="159"/>
      <c r="B220" s="160"/>
      <c r="C220" s="161"/>
      <c r="D220" s="162"/>
      <c r="E220" s="163"/>
      <c r="F220" s="79"/>
      <c r="G220" s="164"/>
      <c r="H220" s="165">
        <f t="shared" si="1"/>
        <v>362243.91</v>
      </c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</row>
    <row r="221">
      <c r="A221" s="159"/>
      <c r="B221" s="160"/>
      <c r="C221" s="161"/>
      <c r="D221" s="162"/>
      <c r="E221" s="163"/>
      <c r="F221" s="79"/>
      <c r="G221" s="164"/>
      <c r="H221" s="165">
        <f t="shared" si="1"/>
        <v>362243.91</v>
      </c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</row>
    <row r="222">
      <c r="A222" s="159"/>
      <c r="B222" s="160"/>
      <c r="C222" s="161"/>
      <c r="D222" s="162"/>
      <c r="E222" s="163"/>
      <c r="F222" s="79"/>
      <c r="G222" s="164"/>
      <c r="H222" s="165">
        <f t="shared" si="1"/>
        <v>362243.91</v>
      </c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</row>
    <row r="223">
      <c r="A223" s="159"/>
      <c r="B223" s="160"/>
      <c r="C223" s="161"/>
      <c r="D223" s="162"/>
      <c r="E223" s="163"/>
      <c r="F223" s="79"/>
      <c r="G223" s="164"/>
      <c r="H223" s="165">
        <f t="shared" si="1"/>
        <v>362243.91</v>
      </c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</row>
    <row r="224">
      <c r="A224" s="159"/>
      <c r="B224" s="160"/>
      <c r="C224" s="161"/>
      <c r="D224" s="162"/>
      <c r="E224" s="163"/>
      <c r="F224" s="79"/>
      <c r="G224" s="164"/>
      <c r="H224" s="165">
        <f t="shared" si="1"/>
        <v>362243.91</v>
      </c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</row>
    <row r="225">
      <c r="A225" s="159"/>
      <c r="B225" s="160"/>
      <c r="C225" s="161"/>
      <c r="D225" s="162"/>
      <c r="E225" s="163"/>
      <c r="F225" s="79"/>
      <c r="G225" s="164"/>
      <c r="H225" s="165">
        <f t="shared" si="1"/>
        <v>362243.91</v>
      </c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</row>
    <row r="226">
      <c r="A226" s="159"/>
      <c r="B226" s="160"/>
      <c r="C226" s="161"/>
      <c r="D226" s="162"/>
      <c r="E226" s="163"/>
      <c r="F226" s="79"/>
      <c r="G226" s="164"/>
      <c r="H226" s="165">
        <f t="shared" si="1"/>
        <v>362243.91</v>
      </c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</row>
    <row r="227">
      <c r="A227" s="159"/>
      <c r="B227" s="160"/>
      <c r="C227" s="161"/>
      <c r="D227" s="162"/>
      <c r="E227" s="163"/>
      <c r="F227" s="79"/>
      <c r="G227" s="164"/>
      <c r="H227" s="165">
        <f t="shared" si="1"/>
        <v>362243.91</v>
      </c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</row>
    <row r="228">
      <c r="A228" s="159"/>
      <c r="B228" s="160"/>
      <c r="C228" s="161"/>
      <c r="D228" s="162"/>
      <c r="E228" s="163"/>
      <c r="F228" s="79"/>
      <c r="G228" s="164"/>
      <c r="H228" s="165">
        <f t="shared" si="1"/>
        <v>362243.91</v>
      </c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</row>
    <row r="229">
      <c r="A229" s="159"/>
      <c r="B229" s="160"/>
      <c r="C229" s="161"/>
      <c r="D229" s="162"/>
      <c r="E229" s="163"/>
      <c r="F229" s="79"/>
      <c r="G229" s="164"/>
      <c r="H229" s="165">
        <f t="shared" si="1"/>
        <v>362243.91</v>
      </c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</row>
    <row r="230">
      <c r="A230" s="159"/>
      <c r="B230" s="160"/>
      <c r="C230" s="161"/>
      <c r="D230" s="162"/>
      <c r="E230" s="163"/>
      <c r="F230" s="79"/>
      <c r="G230" s="164"/>
      <c r="H230" s="165">
        <f t="shared" si="1"/>
        <v>362243.91</v>
      </c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</row>
    <row r="231">
      <c r="A231" s="159"/>
      <c r="B231" s="160"/>
      <c r="C231" s="161"/>
      <c r="D231" s="162"/>
      <c r="E231" s="163"/>
      <c r="F231" s="79"/>
      <c r="G231" s="164"/>
      <c r="H231" s="165">
        <f t="shared" si="1"/>
        <v>362243.91</v>
      </c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</row>
    <row r="232">
      <c r="A232" s="159"/>
      <c r="B232" s="160"/>
      <c r="C232" s="161"/>
      <c r="D232" s="162"/>
      <c r="E232" s="163"/>
      <c r="F232" s="79"/>
      <c r="G232" s="164"/>
      <c r="H232" s="165">
        <f t="shared" si="1"/>
        <v>362243.91</v>
      </c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</row>
    <row r="233">
      <c r="A233" s="159"/>
      <c r="B233" s="160"/>
      <c r="C233" s="161"/>
      <c r="D233" s="162"/>
      <c r="E233" s="163"/>
      <c r="F233" s="79"/>
      <c r="G233" s="164"/>
      <c r="H233" s="165">
        <f t="shared" si="1"/>
        <v>362243.91</v>
      </c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</row>
    <row r="234">
      <c r="A234" s="159"/>
      <c r="B234" s="160"/>
      <c r="C234" s="161"/>
      <c r="D234" s="162"/>
      <c r="E234" s="163"/>
      <c r="F234" s="79"/>
      <c r="G234" s="164"/>
      <c r="H234" s="165">
        <f t="shared" si="1"/>
        <v>362243.91</v>
      </c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</row>
    <row r="235">
      <c r="A235" s="159"/>
      <c r="B235" s="160"/>
      <c r="C235" s="161"/>
      <c r="D235" s="162"/>
      <c r="E235" s="163"/>
      <c r="F235" s="79"/>
      <c r="G235" s="164"/>
      <c r="H235" s="165">
        <f t="shared" si="1"/>
        <v>362243.91</v>
      </c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</row>
    <row r="236">
      <c r="A236" s="159"/>
      <c r="B236" s="160"/>
      <c r="C236" s="161"/>
      <c r="D236" s="162"/>
      <c r="E236" s="163"/>
      <c r="F236" s="79"/>
      <c r="G236" s="164"/>
      <c r="H236" s="165">
        <f t="shared" si="1"/>
        <v>362243.91</v>
      </c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</row>
    <row r="237">
      <c r="A237" s="159"/>
      <c r="B237" s="160"/>
      <c r="C237" s="161"/>
      <c r="D237" s="162"/>
      <c r="E237" s="163"/>
      <c r="F237" s="79"/>
      <c r="G237" s="164"/>
      <c r="H237" s="165">
        <f t="shared" si="1"/>
        <v>362243.91</v>
      </c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</row>
    <row r="238">
      <c r="A238" s="159"/>
      <c r="B238" s="160"/>
      <c r="C238" s="161"/>
      <c r="D238" s="162"/>
      <c r="E238" s="163"/>
      <c r="F238" s="79"/>
      <c r="G238" s="164"/>
      <c r="H238" s="165">
        <f t="shared" si="1"/>
        <v>362243.91</v>
      </c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</row>
    <row r="239">
      <c r="A239" s="159"/>
      <c r="B239" s="160"/>
      <c r="C239" s="161"/>
      <c r="D239" s="162"/>
      <c r="E239" s="163"/>
      <c r="F239" s="79"/>
      <c r="G239" s="164"/>
      <c r="H239" s="165">
        <f t="shared" si="1"/>
        <v>362243.91</v>
      </c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</row>
    <row r="240">
      <c r="A240" s="159"/>
      <c r="B240" s="160"/>
      <c r="C240" s="161"/>
      <c r="D240" s="162"/>
      <c r="E240" s="163"/>
      <c r="F240" s="79"/>
      <c r="G240" s="164"/>
      <c r="H240" s="165">
        <f t="shared" si="1"/>
        <v>362243.91</v>
      </c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</row>
    <row r="241">
      <c r="A241" s="159"/>
      <c r="B241" s="160"/>
      <c r="C241" s="161"/>
      <c r="D241" s="162"/>
      <c r="E241" s="163"/>
      <c r="F241" s="79"/>
      <c r="G241" s="164"/>
      <c r="H241" s="165">
        <f t="shared" si="1"/>
        <v>362243.91</v>
      </c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</row>
    <row r="242">
      <c r="A242" s="159"/>
      <c r="B242" s="160"/>
      <c r="C242" s="161"/>
      <c r="D242" s="162"/>
      <c r="E242" s="163"/>
      <c r="F242" s="79"/>
      <c r="G242" s="164"/>
      <c r="H242" s="165">
        <f t="shared" si="1"/>
        <v>362243.91</v>
      </c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</row>
    <row r="243">
      <c r="A243" s="159"/>
      <c r="B243" s="160"/>
      <c r="C243" s="161"/>
      <c r="D243" s="162"/>
      <c r="E243" s="163"/>
      <c r="F243" s="79"/>
      <c r="G243" s="164"/>
      <c r="H243" s="165">
        <f t="shared" si="1"/>
        <v>362243.91</v>
      </c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</row>
    <row r="244">
      <c r="A244" s="159"/>
      <c r="B244" s="160"/>
      <c r="C244" s="161"/>
      <c r="D244" s="162"/>
      <c r="E244" s="163"/>
      <c r="F244" s="79"/>
      <c r="G244" s="164"/>
      <c r="H244" s="165">
        <f t="shared" si="1"/>
        <v>362243.91</v>
      </c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</row>
    <row r="245">
      <c r="A245" s="159"/>
      <c r="B245" s="160"/>
      <c r="C245" s="161"/>
      <c r="D245" s="162"/>
      <c r="E245" s="163"/>
      <c r="F245" s="79"/>
      <c r="G245" s="164"/>
      <c r="H245" s="165">
        <f t="shared" si="1"/>
        <v>362243.91</v>
      </c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</row>
    <row r="246">
      <c r="A246" s="159"/>
      <c r="B246" s="160"/>
      <c r="C246" s="161"/>
      <c r="D246" s="162"/>
      <c r="E246" s="163"/>
      <c r="F246" s="79"/>
      <c r="G246" s="164"/>
      <c r="H246" s="165">
        <f t="shared" si="1"/>
        <v>362243.91</v>
      </c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</row>
    <row r="247">
      <c r="A247" s="159"/>
      <c r="B247" s="160"/>
      <c r="C247" s="161"/>
      <c r="D247" s="162"/>
      <c r="E247" s="163"/>
      <c r="F247" s="79"/>
      <c r="G247" s="164"/>
      <c r="H247" s="165">
        <f t="shared" si="1"/>
        <v>362243.91</v>
      </c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</row>
    <row r="248">
      <c r="A248" s="159"/>
      <c r="B248" s="160"/>
      <c r="C248" s="161"/>
      <c r="D248" s="162"/>
      <c r="E248" s="163"/>
      <c r="F248" s="79"/>
      <c r="G248" s="164"/>
      <c r="H248" s="165">
        <f t="shared" si="1"/>
        <v>362243.91</v>
      </c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</row>
    <row r="249">
      <c r="A249" s="159"/>
      <c r="B249" s="160"/>
      <c r="C249" s="161"/>
      <c r="D249" s="162"/>
      <c r="E249" s="163"/>
      <c r="F249" s="79"/>
      <c r="G249" s="164"/>
      <c r="H249" s="165">
        <f t="shared" si="1"/>
        <v>362243.91</v>
      </c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</row>
    <row r="250">
      <c r="A250" s="159"/>
      <c r="B250" s="160"/>
      <c r="C250" s="161"/>
      <c r="D250" s="162"/>
      <c r="E250" s="163"/>
      <c r="F250" s="79"/>
      <c r="G250" s="164"/>
      <c r="H250" s="165">
        <f t="shared" si="1"/>
        <v>362243.91</v>
      </c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</row>
    <row r="251">
      <c r="A251" s="159"/>
      <c r="B251" s="160"/>
      <c r="C251" s="161"/>
      <c r="D251" s="162"/>
      <c r="E251" s="163"/>
      <c r="F251" s="79"/>
      <c r="G251" s="164"/>
      <c r="H251" s="165">
        <f t="shared" si="1"/>
        <v>362243.91</v>
      </c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</row>
    <row r="252">
      <c r="A252" s="159"/>
      <c r="B252" s="160"/>
      <c r="C252" s="161"/>
      <c r="D252" s="162"/>
      <c r="E252" s="163"/>
      <c r="F252" s="79"/>
      <c r="G252" s="164"/>
      <c r="H252" s="165">
        <f t="shared" si="1"/>
        <v>362243.91</v>
      </c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</row>
    <row r="253">
      <c r="A253" s="159"/>
      <c r="B253" s="160"/>
      <c r="C253" s="161"/>
      <c r="D253" s="162"/>
      <c r="E253" s="163"/>
      <c r="F253" s="79"/>
      <c r="G253" s="164"/>
      <c r="H253" s="165">
        <f t="shared" si="1"/>
        <v>362243.91</v>
      </c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</row>
    <row r="254">
      <c r="A254" s="159"/>
      <c r="B254" s="160"/>
      <c r="C254" s="161"/>
      <c r="D254" s="162"/>
      <c r="E254" s="163"/>
      <c r="F254" s="79"/>
      <c r="G254" s="164"/>
      <c r="H254" s="165">
        <f t="shared" si="1"/>
        <v>362243.91</v>
      </c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</row>
    <row r="255">
      <c r="A255" s="159"/>
      <c r="B255" s="160"/>
      <c r="C255" s="161"/>
      <c r="D255" s="162"/>
      <c r="E255" s="163"/>
      <c r="F255" s="79"/>
      <c r="G255" s="164"/>
      <c r="H255" s="165">
        <f t="shared" si="1"/>
        <v>362243.91</v>
      </c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</row>
    <row r="256">
      <c r="A256" s="159"/>
      <c r="B256" s="160"/>
      <c r="C256" s="161"/>
      <c r="D256" s="162"/>
      <c r="E256" s="163"/>
      <c r="F256" s="79"/>
      <c r="G256" s="164"/>
      <c r="H256" s="165">
        <f t="shared" si="1"/>
        <v>362243.91</v>
      </c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</row>
    <row r="257">
      <c r="A257" s="159"/>
      <c r="B257" s="160"/>
      <c r="C257" s="161"/>
      <c r="D257" s="162"/>
      <c r="E257" s="163"/>
      <c r="F257" s="79"/>
      <c r="G257" s="164"/>
      <c r="H257" s="165">
        <f t="shared" si="1"/>
        <v>362243.91</v>
      </c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</row>
    <row r="258">
      <c r="A258" s="159"/>
      <c r="B258" s="160"/>
      <c r="C258" s="161"/>
      <c r="D258" s="162"/>
      <c r="E258" s="163"/>
      <c r="F258" s="79"/>
      <c r="G258" s="164"/>
      <c r="H258" s="165">
        <f t="shared" si="1"/>
        <v>362243.91</v>
      </c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</row>
    <row r="259">
      <c r="A259" s="159"/>
      <c r="B259" s="160"/>
      <c r="C259" s="161"/>
      <c r="D259" s="162"/>
      <c r="E259" s="163"/>
      <c r="F259" s="79"/>
      <c r="G259" s="164"/>
      <c r="H259" s="165">
        <f t="shared" si="1"/>
        <v>362243.91</v>
      </c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</row>
    <row r="260">
      <c r="A260" s="159"/>
      <c r="B260" s="160"/>
      <c r="C260" s="161"/>
      <c r="D260" s="162"/>
      <c r="E260" s="163"/>
      <c r="F260" s="79"/>
      <c r="G260" s="164"/>
      <c r="H260" s="165">
        <f t="shared" si="1"/>
        <v>362243.91</v>
      </c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</row>
    <row r="261">
      <c r="A261" s="159"/>
      <c r="B261" s="160"/>
      <c r="C261" s="161"/>
      <c r="D261" s="162"/>
      <c r="E261" s="163"/>
      <c r="F261" s="79"/>
      <c r="G261" s="164"/>
      <c r="H261" s="165">
        <f t="shared" si="1"/>
        <v>362243.91</v>
      </c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</row>
    <row r="262">
      <c r="A262" s="159"/>
      <c r="B262" s="160"/>
      <c r="C262" s="161"/>
      <c r="D262" s="162"/>
      <c r="E262" s="163"/>
      <c r="F262" s="79"/>
      <c r="G262" s="164"/>
      <c r="H262" s="165">
        <f t="shared" si="1"/>
        <v>362243.91</v>
      </c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</row>
    <row r="263">
      <c r="A263" s="159"/>
      <c r="B263" s="160"/>
      <c r="C263" s="161"/>
      <c r="D263" s="162"/>
      <c r="E263" s="163"/>
      <c r="F263" s="79"/>
      <c r="G263" s="164"/>
      <c r="H263" s="165">
        <f t="shared" si="1"/>
        <v>362243.91</v>
      </c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</row>
    <row r="264">
      <c r="A264" s="159"/>
      <c r="B264" s="160"/>
      <c r="C264" s="161"/>
      <c r="D264" s="162"/>
      <c r="E264" s="163"/>
      <c r="F264" s="79"/>
      <c r="G264" s="164"/>
      <c r="H264" s="165">
        <f t="shared" si="1"/>
        <v>362243.91</v>
      </c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</row>
    <row r="265">
      <c r="A265" s="159"/>
      <c r="B265" s="160"/>
      <c r="C265" s="161"/>
      <c r="D265" s="162"/>
      <c r="E265" s="163"/>
      <c r="F265" s="79"/>
      <c r="G265" s="164"/>
      <c r="H265" s="165">
        <f t="shared" si="1"/>
        <v>362243.91</v>
      </c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</row>
    <row r="266">
      <c r="A266" s="159"/>
      <c r="B266" s="160"/>
      <c r="C266" s="161"/>
      <c r="D266" s="162"/>
      <c r="E266" s="163"/>
      <c r="F266" s="79"/>
      <c r="G266" s="164"/>
      <c r="H266" s="165">
        <f t="shared" si="1"/>
        <v>362243.91</v>
      </c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</row>
    <row r="267">
      <c r="A267" s="159"/>
      <c r="B267" s="160"/>
      <c r="C267" s="161"/>
      <c r="D267" s="162"/>
      <c r="E267" s="163"/>
      <c r="F267" s="79"/>
      <c r="G267" s="164"/>
      <c r="H267" s="165">
        <f t="shared" si="1"/>
        <v>362243.91</v>
      </c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</row>
    <row r="268">
      <c r="A268" s="159"/>
      <c r="B268" s="160"/>
      <c r="C268" s="161"/>
      <c r="D268" s="162"/>
      <c r="E268" s="163"/>
      <c r="F268" s="79"/>
      <c r="G268" s="164"/>
      <c r="H268" s="165">
        <f t="shared" si="1"/>
        <v>362243.91</v>
      </c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</row>
    <row r="269">
      <c r="A269" s="159"/>
      <c r="B269" s="160"/>
      <c r="C269" s="161"/>
      <c r="D269" s="162"/>
      <c r="E269" s="163"/>
      <c r="F269" s="79"/>
      <c r="G269" s="164"/>
      <c r="H269" s="165">
        <f t="shared" si="1"/>
        <v>362243.91</v>
      </c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</row>
    <row r="270">
      <c r="A270" s="159"/>
      <c r="B270" s="160"/>
      <c r="C270" s="161"/>
      <c r="D270" s="162"/>
      <c r="E270" s="163"/>
      <c r="F270" s="79"/>
      <c r="G270" s="164"/>
      <c r="H270" s="165">
        <f t="shared" si="1"/>
        <v>362243.91</v>
      </c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</row>
    <row r="271">
      <c r="A271" s="159"/>
      <c r="B271" s="160"/>
      <c r="C271" s="161"/>
      <c r="D271" s="162"/>
      <c r="E271" s="163"/>
      <c r="F271" s="79"/>
      <c r="G271" s="164"/>
      <c r="H271" s="165">
        <f t="shared" si="1"/>
        <v>362243.91</v>
      </c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</row>
    <row r="272">
      <c r="A272" s="159"/>
      <c r="B272" s="160"/>
      <c r="C272" s="161"/>
      <c r="D272" s="162"/>
      <c r="E272" s="163"/>
      <c r="F272" s="79"/>
      <c r="G272" s="164"/>
      <c r="H272" s="165">
        <f t="shared" si="1"/>
        <v>362243.91</v>
      </c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</row>
    <row r="273">
      <c r="A273" s="159"/>
      <c r="B273" s="160"/>
      <c r="C273" s="161"/>
      <c r="D273" s="162"/>
      <c r="E273" s="163"/>
      <c r="F273" s="79"/>
      <c r="G273" s="164"/>
      <c r="H273" s="165">
        <f t="shared" si="1"/>
        <v>362243.91</v>
      </c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</row>
    <row r="274">
      <c r="A274" s="159"/>
      <c r="B274" s="160"/>
      <c r="C274" s="161"/>
      <c r="D274" s="162"/>
      <c r="E274" s="163"/>
      <c r="F274" s="79"/>
      <c r="G274" s="164"/>
      <c r="H274" s="165">
        <f t="shared" si="1"/>
        <v>362243.91</v>
      </c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</row>
    <row r="275">
      <c r="A275" s="159"/>
      <c r="B275" s="160"/>
      <c r="C275" s="161"/>
      <c r="D275" s="162"/>
      <c r="E275" s="163"/>
      <c r="F275" s="79"/>
      <c r="G275" s="164"/>
      <c r="H275" s="165">
        <f t="shared" si="1"/>
        <v>362243.91</v>
      </c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</row>
    <row r="276">
      <c r="A276" s="159"/>
      <c r="B276" s="160"/>
      <c r="C276" s="161"/>
      <c r="D276" s="162"/>
      <c r="E276" s="163"/>
      <c r="F276" s="79"/>
      <c r="G276" s="164"/>
      <c r="H276" s="165">
        <f t="shared" si="1"/>
        <v>362243.91</v>
      </c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</row>
    <row r="277">
      <c r="A277" s="159"/>
      <c r="B277" s="160"/>
      <c r="C277" s="161"/>
      <c r="D277" s="162"/>
      <c r="E277" s="163"/>
      <c r="F277" s="79"/>
      <c r="G277" s="164"/>
      <c r="H277" s="165">
        <f t="shared" si="1"/>
        <v>362243.91</v>
      </c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</row>
    <row r="278">
      <c r="A278" s="159"/>
      <c r="B278" s="160"/>
      <c r="C278" s="161"/>
      <c r="D278" s="162"/>
      <c r="E278" s="163"/>
      <c r="F278" s="79"/>
      <c r="G278" s="164"/>
      <c r="H278" s="165">
        <f t="shared" si="1"/>
        <v>362243.91</v>
      </c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</row>
    <row r="279">
      <c r="A279" s="159"/>
      <c r="B279" s="160"/>
      <c r="C279" s="161"/>
      <c r="D279" s="162"/>
      <c r="E279" s="163"/>
      <c r="F279" s="79"/>
      <c r="G279" s="164"/>
      <c r="H279" s="165">
        <f t="shared" si="1"/>
        <v>362243.91</v>
      </c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</row>
    <row r="280">
      <c r="A280" s="159"/>
      <c r="B280" s="160"/>
      <c r="C280" s="161"/>
      <c r="D280" s="162"/>
      <c r="E280" s="163"/>
      <c r="F280" s="79"/>
      <c r="G280" s="164"/>
      <c r="H280" s="165">
        <f t="shared" si="1"/>
        <v>362243.91</v>
      </c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</row>
    <row r="281">
      <c r="A281" s="159"/>
      <c r="B281" s="160"/>
      <c r="C281" s="161"/>
      <c r="D281" s="162"/>
      <c r="E281" s="163"/>
      <c r="F281" s="79"/>
      <c r="G281" s="164"/>
      <c r="H281" s="165">
        <f t="shared" si="1"/>
        <v>362243.91</v>
      </c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</row>
    <row r="282">
      <c r="A282" s="159"/>
      <c r="B282" s="160"/>
      <c r="C282" s="161"/>
      <c r="D282" s="162"/>
      <c r="E282" s="163"/>
      <c r="F282" s="79"/>
      <c r="G282" s="164"/>
      <c r="H282" s="165">
        <f t="shared" si="1"/>
        <v>362243.91</v>
      </c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</row>
    <row r="283">
      <c r="A283" s="159"/>
      <c r="B283" s="160"/>
      <c r="C283" s="161"/>
      <c r="D283" s="162"/>
      <c r="E283" s="163"/>
      <c r="F283" s="79"/>
      <c r="G283" s="164"/>
      <c r="H283" s="165">
        <f t="shared" si="1"/>
        <v>362243.91</v>
      </c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</row>
    <row r="284">
      <c r="A284" s="159"/>
      <c r="B284" s="160"/>
      <c r="C284" s="161"/>
      <c r="D284" s="162"/>
      <c r="E284" s="163"/>
      <c r="F284" s="79"/>
      <c r="G284" s="164"/>
      <c r="H284" s="165">
        <f t="shared" si="1"/>
        <v>362243.91</v>
      </c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</row>
    <row r="285">
      <c r="A285" s="159"/>
      <c r="B285" s="160"/>
      <c r="C285" s="161"/>
      <c r="D285" s="162"/>
      <c r="E285" s="163"/>
      <c r="F285" s="79"/>
      <c r="G285" s="164"/>
      <c r="H285" s="165">
        <f t="shared" si="1"/>
        <v>362243.91</v>
      </c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</row>
    <row r="286">
      <c r="A286" s="159"/>
      <c r="B286" s="160"/>
      <c r="C286" s="161"/>
      <c r="D286" s="162"/>
      <c r="E286" s="163"/>
      <c r="F286" s="79"/>
      <c r="G286" s="164"/>
      <c r="H286" s="165">
        <f t="shared" si="1"/>
        <v>362243.91</v>
      </c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</row>
    <row r="287">
      <c r="A287" s="159"/>
      <c r="B287" s="160"/>
      <c r="C287" s="161"/>
      <c r="D287" s="162"/>
      <c r="E287" s="163"/>
      <c r="F287" s="79"/>
      <c r="G287" s="164"/>
      <c r="H287" s="165">
        <f t="shared" si="1"/>
        <v>362243.91</v>
      </c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</row>
    <row r="288">
      <c r="A288" s="159"/>
      <c r="B288" s="160"/>
      <c r="C288" s="161"/>
      <c r="D288" s="162"/>
      <c r="E288" s="163"/>
      <c r="F288" s="79"/>
      <c r="G288" s="164"/>
      <c r="H288" s="165">
        <f t="shared" si="1"/>
        <v>362243.91</v>
      </c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</row>
    <row r="289">
      <c r="A289" s="159"/>
      <c r="B289" s="160"/>
      <c r="C289" s="161"/>
      <c r="D289" s="162"/>
      <c r="E289" s="163"/>
      <c r="F289" s="79"/>
      <c r="G289" s="164"/>
      <c r="H289" s="165">
        <f t="shared" si="1"/>
        <v>362243.91</v>
      </c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</row>
    <row r="290">
      <c r="A290" s="159"/>
      <c r="B290" s="160"/>
      <c r="C290" s="161"/>
      <c r="D290" s="162"/>
      <c r="E290" s="163"/>
      <c r="F290" s="79"/>
      <c r="G290" s="164"/>
      <c r="H290" s="165">
        <f t="shared" si="1"/>
        <v>362243.91</v>
      </c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</row>
    <row r="291">
      <c r="A291" s="159"/>
      <c r="B291" s="160"/>
      <c r="C291" s="161"/>
      <c r="D291" s="162"/>
      <c r="E291" s="163"/>
      <c r="F291" s="79"/>
      <c r="G291" s="164"/>
      <c r="H291" s="165">
        <f t="shared" si="1"/>
        <v>362243.91</v>
      </c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</row>
    <row r="292">
      <c r="A292" s="159"/>
      <c r="B292" s="160"/>
      <c r="C292" s="161"/>
      <c r="D292" s="162"/>
      <c r="E292" s="163"/>
      <c r="F292" s="79"/>
      <c r="G292" s="164"/>
      <c r="H292" s="165">
        <f t="shared" si="1"/>
        <v>362243.91</v>
      </c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</row>
    <row r="293">
      <c r="A293" s="159"/>
      <c r="B293" s="160"/>
      <c r="C293" s="161"/>
      <c r="D293" s="162"/>
      <c r="E293" s="163"/>
      <c r="F293" s="79"/>
      <c r="G293" s="164"/>
      <c r="H293" s="165">
        <f t="shared" si="1"/>
        <v>362243.91</v>
      </c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</row>
    <row r="294">
      <c r="A294" s="159"/>
      <c r="B294" s="160"/>
      <c r="C294" s="161"/>
      <c r="D294" s="162"/>
      <c r="E294" s="163"/>
      <c r="F294" s="79"/>
      <c r="G294" s="164"/>
      <c r="H294" s="165">
        <f t="shared" si="1"/>
        <v>362243.91</v>
      </c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</row>
    <row r="295">
      <c r="A295" s="159"/>
      <c r="B295" s="160"/>
      <c r="C295" s="161"/>
      <c r="D295" s="162"/>
      <c r="E295" s="163"/>
      <c r="F295" s="79"/>
      <c r="G295" s="164"/>
      <c r="H295" s="165">
        <f t="shared" si="1"/>
        <v>362243.91</v>
      </c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</row>
    <row r="296">
      <c r="A296" s="159"/>
      <c r="B296" s="160"/>
      <c r="C296" s="161"/>
      <c r="D296" s="162"/>
      <c r="E296" s="163"/>
      <c r="F296" s="79"/>
      <c r="G296" s="164"/>
      <c r="H296" s="165">
        <f t="shared" si="1"/>
        <v>362243.91</v>
      </c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</row>
    <row r="297">
      <c r="A297" s="159"/>
      <c r="B297" s="160"/>
      <c r="C297" s="161"/>
      <c r="D297" s="162"/>
      <c r="E297" s="163"/>
      <c r="F297" s="79"/>
      <c r="G297" s="164"/>
      <c r="H297" s="165">
        <f t="shared" si="1"/>
        <v>362243.91</v>
      </c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</row>
    <row r="298">
      <c r="A298" s="159"/>
      <c r="B298" s="160"/>
      <c r="C298" s="161"/>
      <c r="D298" s="162"/>
      <c r="E298" s="163"/>
      <c r="F298" s="79"/>
      <c r="G298" s="164"/>
      <c r="H298" s="165">
        <f t="shared" si="1"/>
        <v>362243.91</v>
      </c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</row>
    <row r="299">
      <c r="A299" s="159"/>
      <c r="B299" s="160"/>
      <c r="C299" s="161"/>
      <c r="D299" s="162"/>
      <c r="E299" s="163"/>
      <c r="F299" s="79"/>
      <c r="G299" s="164"/>
      <c r="H299" s="165">
        <f t="shared" si="1"/>
        <v>362243.91</v>
      </c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</row>
    <row r="300">
      <c r="A300" s="159"/>
      <c r="B300" s="160"/>
      <c r="C300" s="161"/>
      <c r="D300" s="162"/>
      <c r="E300" s="163"/>
      <c r="F300" s="79"/>
      <c r="G300" s="164"/>
      <c r="H300" s="165">
        <f t="shared" si="1"/>
        <v>362243.91</v>
      </c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</row>
    <row r="301">
      <c r="A301" s="159"/>
      <c r="B301" s="160"/>
      <c r="C301" s="161"/>
      <c r="D301" s="162"/>
      <c r="E301" s="163"/>
      <c r="F301" s="79"/>
      <c r="G301" s="164"/>
      <c r="H301" s="165">
        <f t="shared" si="1"/>
        <v>362243.91</v>
      </c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</row>
    <row r="302">
      <c r="A302" s="159"/>
      <c r="B302" s="160"/>
      <c r="C302" s="161"/>
      <c r="D302" s="162"/>
      <c r="E302" s="163"/>
      <c r="F302" s="79"/>
      <c r="G302" s="164"/>
      <c r="H302" s="165">
        <f t="shared" si="1"/>
        <v>362243.91</v>
      </c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</row>
    <row r="303">
      <c r="A303" s="159"/>
      <c r="B303" s="160"/>
      <c r="C303" s="161"/>
      <c r="D303" s="162"/>
      <c r="E303" s="163"/>
      <c r="F303" s="79"/>
      <c r="G303" s="164"/>
      <c r="H303" s="165">
        <f t="shared" si="1"/>
        <v>362243.91</v>
      </c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</row>
    <row r="304">
      <c r="A304" s="159"/>
      <c r="B304" s="160"/>
      <c r="C304" s="161"/>
      <c r="D304" s="162"/>
      <c r="E304" s="163"/>
      <c r="F304" s="79"/>
      <c r="G304" s="164"/>
      <c r="H304" s="165">
        <f t="shared" si="1"/>
        <v>362243.91</v>
      </c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</row>
    <row r="305">
      <c r="A305" s="159"/>
      <c r="B305" s="160"/>
      <c r="C305" s="161"/>
      <c r="D305" s="162"/>
      <c r="E305" s="163"/>
      <c r="F305" s="79"/>
      <c r="G305" s="164"/>
      <c r="H305" s="165">
        <f t="shared" si="1"/>
        <v>362243.91</v>
      </c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</row>
    <row r="306">
      <c r="A306" s="159"/>
      <c r="B306" s="160"/>
      <c r="C306" s="161"/>
      <c r="D306" s="162"/>
      <c r="E306" s="163"/>
      <c r="F306" s="79"/>
      <c r="G306" s="164"/>
      <c r="H306" s="165">
        <f t="shared" si="1"/>
        <v>362243.91</v>
      </c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</row>
    <row r="307">
      <c r="A307" s="159"/>
      <c r="B307" s="160"/>
      <c r="C307" s="161"/>
      <c r="D307" s="162"/>
      <c r="E307" s="163"/>
      <c r="F307" s="79"/>
      <c r="G307" s="164"/>
      <c r="H307" s="165">
        <f t="shared" si="1"/>
        <v>362243.91</v>
      </c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</row>
    <row r="308">
      <c r="A308" s="159"/>
      <c r="B308" s="160"/>
      <c r="C308" s="161"/>
      <c r="D308" s="162"/>
      <c r="E308" s="163"/>
      <c r="F308" s="79"/>
      <c r="G308" s="164"/>
      <c r="H308" s="165">
        <f t="shared" si="1"/>
        <v>362243.91</v>
      </c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</row>
    <row r="309">
      <c r="A309" s="159"/>
      <c r="B309" s="160"/>
      <c r="C309" s="161"/>
      <c r="D309" s="162"/>
      <c r="E309" s="163"/>
      <c r="F309" s="79"/>
      <c r="G309" s="164"/>
      <c r="H309" s="165">
        <f t="shared" si="1"/>
        <v>362243.91</v>
      </c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</row>
    <row r="310">
      <c r="A310" s="159"/>
      <c r="B310" s="160"/>
      <c r="C310" s="161"/>
      <c r="D310" s="162"/>
      <c r="E310" s="163"/>
      <c r="F310" s="79"/>
      <c r="G310" s="164"/>
      <c r="H310" s="165">
        <f t="shared" si="1"/>
        <v>362243.91</v>
      </c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</row>
    <row r="311">
      <c r="A311" s="159"/>
      <c r="B311" s="160"/>
      <c r="C311" s="161"/>
      <c r="D311" s="162"/>
      <c r="E311" s="163"/>
      <c r="F311" s="79"/>
      <c r="G311" s="164"/>
      <c r="H311" s="165">
        <f t="shared" si="1"/>
        <v>362243.91</v>
      </c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</row>
    <row r="312">
      <c r="A312" s="159"/>
      <c r="B312" s="160"/>
      <c r="C312" s="161"/>
      <c r="D312" s="162"/>
      <c r="E312" s="163"/>
      <c r="F312" s="79"/>
      <c r="G312" s="164"/>
      <c r="H312" s="165">
        <f t="shared" si="1"/>
        <v>362243.91</v>
      </c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</row>
    <row r="313">
      <c r="A313" s="159"/>
      <c r="B313" s="160"/>
      <c r="C313" s="161"/>
      <c r="D313" s="162"/>
      <c r="E313" s="163"/>
      <c r="F313" s="79"/>
      <c r="G313" s="164"/>
      <c r="H313" s="165">
        <f t="shared" si="1"/>
        <v>362243.91</v>
      </c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</row>
    <row r="314">
      <c r="A314" s="159"/>
      <c r="B314" s="160"/>
      <c r="C314" s="161"/>
      <c r="D314" s="162"/>
      <c r="E314" s="163"/>
      <c r="F314" s="79"/>
      <c r="G314" s="164"/>
      <c r="H314" s="165">
        <f t="shared" si="1"/>
        <v>362243.91</v>
      </c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</row>
    <row r="315">
      <c r="A315" s="159"/>
      <c r="B315" s="160"/>
      <c r="C315" s="161"/>
      <c r="D315" s="162"/>
      <c r="E315" s="163"/>
      <c r="F315" s="79"/>
      <c r="G315" s="164"/>
      <c r="H315" s="165">
        <f t="shared" si="1"/>
        <v>362243.91</v>
      </c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</row>
    <row r="316">
      <c r="A316" s="159"/>
      <c r="B316" s="160"/>
      <c r="C316" s="161"/>
      <c r="D316" s="162"/>
      <c r="E316" s="163"/>
      <c r="F316" s="79"/>
      <c r="G316" s="164"/>
      <c r="H316" s="165">
        <f t="shared" si="1"/>
        <v>362243.91</v>
      </c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</row>
    <row r="317">
      <c r="A317" s="159"/>
      <c r="B317" s="160"/>
      <c r="C317" s="161"/>
      <c r="D317" s="162"/>
      <c r="E317" s="163"/>
      <c r="F317" s="79"/>
      <c r="G317" s="164"/>
      <c r="H317" s="165">
        <f t="shared" si="1"/>
        <v>362243.91</v>
      </c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</row>
    <row r="318">
      <c r="A318" s="159"/>
      <c r="B318" s="160"/>
      <c r="C318" s="161"/>
      <c r="D318" s="162"/>
      <c r="E318" s="163"/>
      <c r="F318" s="79"/>
      <c r="G318" s="164"/>
      <c r="H318" s="165">
        <f t="shared" si="1"/>
        <v>362243.91</v>
      </c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</row>
    <row r="319">
      <c r="A319" s="159"/>
      <c r="B319" s="160"/>
      <c r="C319" s="161"/>
      <c r="D319" s="162"/>
      <c r="E319" s="163"/>
      <c r="F319" s="79"/>
      <c r="G319" s="164"/>
      <c r="H319" s="165">
        <f t="shared" si="1"/>
        <v>362243.91</v>
      </c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</row>
    <row r="320">
      <c r="A320" s="159"/>
      <c r="B320" s="160"/>
      <c r="C320" s="161"/>
      <c r="D320" s="162"/>
      <c r="E320" s="163"/>
      <c r="F320" s="79"/>
      <c r="G320" s="164"/>
      <c r="H320" s="165">
        <f t="shared" si="1"/>
        <v>362243.91</v>
      </c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</row>
    <row r="321">
      <c r="A321" s="159"/>
      <c r="B321" s="160"/>
      <c r="C321" s="161"/>
      <c r="D321" s="162"/>
      <c r="E321" s="163"/>
      <c r="F321" s="79"/>
      <c r="G321" s="164"/>
      <c r="H321" s="165">
        <f t="shared" si="1"/>
        <v>362243.91</v>
      </c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</row>
    <row r="322">
      <c r="A322" s="159"/>
      <c r="B322" s="160"/>
      <c r="C322" s="161"/>
      <c r="D322" s="162"/>
      <c r="E322" s="163"/>
      <c r="F322" s="79"/>
      <c r="G322" s="164"/>
      <c r="H322" s="165">
        <f t="shared" si="1"/>
        <v>362243.91</v>
      </c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</row>
    <row r="323">
      <c r="A323" s="159"/>
      <c r="B323" s="160"/>
      <c r="C323" s="161"/>
      <c r="D323" s="162"/>
      <c r="E323" s="163"/>
      <c r="F323" s="79"/>
      <c r="G323" s="164"/>
      <c r="H323" s="165">
        <f t="shared" si="1"/>
        <v>362243.91</v>
      </c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</row>
    <row r="324">
      <c r="A324" s="159"/>
      <c r="B324" s="160"/>
      <c r="C324" s="161"/>
      <c r="D324" s="162"/>
      <c r="E324" s="163"/>
      <c r="F324" s="79"/>
      <c r="G324" s="164"/>
      <c r="H324" s="165">
        <f t="shared" si="1"/>
        <v>362243.91</v>
      </c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</row>
    <row r="325">
      <c r="A325" s="159"/>
      <c r="B325" s="160"/>
      <c r="C325" s="161"/>
      <c r="D325" s="162"/>
      <c r="E325" s="163"/>
      <c r="F325" s="79"/>
      <c r="G325" s="164"/>
      <c r="H325" s="165">
        <f t="shared" si="1"/>
        <v>362243.91</v>
      </c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</row>
    <row r="326">
      <c r="A326" s="159"/>
      <c r="B326" s="160"/>
      <c r="C326" s="161"/>
      <c r="D326" s="162"/>
      <c r="E326" s="163"/>
      <c r="F326" s="79"/>
      <c r="G326" s="164"/>
      <c r="H326" s="165">
        <f t="shared" si="1"/>
        <v>362243.91</v>
      </c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</row>
    <row r="327">
      <c r="A327" s="159"/>
      <c r="B327" s="160"/>
      <c r="C327" s="161"/>
      <c r="D327" s="162"/>
      <c r="E327" s="163"/>
      <c r="F327" s="79"/>
      <c r="G327" s="164"/>
      <c r="H327" s="165">
        <f t="shared" si="1"/>
        <v>362243.91</v>
      </c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</row>
    <row r="328">
      <c r="A328" s="159"/>
      <c r="B328" s="160"/>
      <c r="C328" s="161"/>
      <c r="D328" s="162"/>
      <c r="E328" s="163"/>
      <c r="F328" s="79"/>
      <c r="G328" s="164"/>
      <c r="H328" s="165">
        <f t="shared" si="1"/>
        <v>362243.91</v>
      </c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</row>
    <row r="329">
      <c r="A329" s="159"/>
      <c r="B329" s="160"/>
      <c r="C329" s="161"/>
      <c r="D329" s="162"/>
      <c r="E329" s="163"/>
      <c r="F329" s="79"/>
      <c r="G329" s="164"/>
      <c r="H329" s="165">
        <f t="shared" si="1"/>
        <v>362243.91</v>
      </c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</row>
    <row r="330">
      <c r="A330" s="159"/>
      <c r="B330" s="160"/>
      <c r="C330" s="161"/>
      <c r="D330" s="162"/>
      <c r="E330" s="163"/>
      <c r="F330" s="79"/>
      <c r="G330" s="164"/>
      <c r="H330" s="165">
        <f t="shared" si="1"/>
        <v>362243.91</v>
      </c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</row>
    <row r="331">
      <c r="A331" s="159"/>
      <c r="B331" s="160"/>
      <c r="C331" s="161"/>
      <c r="D331" s="162"/>
      <c r="E331" s="163"/>
      <c r="F331" s="79"/>
      <c r="G331" s="164"/>
      <c r="H331" s="165">
        <f t="shared" si="1"/>
        <v>362243.91</v>
      </c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</row>
    <row r="332">
      <c r="A332" s="159"/>
      <c r="B332" s="160"/>
      <c r="C332" s="161"/>
      <c r="D332" s="162"/>
      <c r="E332" s="163"/>
      <c r="F332" s="79"/>
      <c r="G332" s="164"/>
      <c r="H332" s="165">
        <f t="shared" si="1"/>
        <v>362243.91</v>
      </c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</row>
    <row r="333">
      <c r="A333" s="159"/>
      <c r="B333" s="160"/>
      <c r="C333" s="161"/>
      <c r="D333" s="162"/>
      <c r="E333" s="163"/>
      <c r="F333" s="79"/>
      <c r="G333" s="164"/>
      <c r="H333" s="165">
        <f t="shared" si="1"/>
        <v>362243.91</v>
      </c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</row>
    <row r="334">
      <c r="A334" s="159"/>
      <c r="B334" s="160"/>
      <c r="C334" s="161"/>
      <c r="D334" s="162"/>
      <c r="E334" s="163"/>
      <c r="F334" s="79"/>
      <c r="G334" s="164"/>
      <c r="H334" s="165">
        <f t="shared" si="1"/>
        <v>362243.91</v>
      </c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</row>
    <row r="335">
      <c r="A335" s="159"/>
      <c r="B335" s="160"/>
      <c r="C335" s="161"/>
      <c r="D335" s="162"/>
      <c r="E335" s="163"/>
      <c r="F335" s="79"/>
      <c r="G335" s="164"/>
      <c r="H335" s="165">
        <f t="shared" si="1"/>
        <v>362243.91</v>
      </c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</row>
    <row r="336">
      <c r="A336" s="159"/>
      <c r="B336" s="160"/>
      <c r="C336" s="161"/>
      <c r="D336" s="162"/>
      <c r="E336" s="163"/>
      <c r="F336" s="79"/>
      <c r="G336" s="164"/>
      <c r="H336" s="165">
        <f t="shared" si="1"/>
        <v>362243.91</v>
      </c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</row>
    <row r="337">
      <c r="A337" s="159"/>
      <c r="B337" s="160"/>
      <c r="C337" s="161"/>
      <c r="D337" s="162"/>
      <c r="E337" s="163"/>
      <c r="F337" s="79"/>
      <c r="G337" s="164"/>
      <c r="H337" s="165">
        <f t="shared" si="1"/>
        <v>362243.91</v>
      </c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</row>
    <row r="338">
      <c r="A338" s="159"/>
      <c r="B338" s="160"/>
      <c r="C338" s="161"/>
      <c r="D338" s="162"/>
      <c r="E338" s="163"/>
      <c r="F338" s="79"/>
      <c r="G338" s="164"/>
      <c r="H338" s="165">
        <f t="shared" si="1"/>
        <v>362243.91</v>
      </c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</row>
    <row r="339">
      <c r="A339" s="159"/>
      <c r="B339" s="160"/>
      <c r="C339" s="161"/>
      <c r="D339" s="162"/>
      <c r="E339" s="163"/>
      <c r="F339" s="79"/>
      <c r="G339" s="164"/>
      <c r="H339" s="165">
        <f t="shared" si="1"/>
        <v>362243.91</v>
      </c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</row>
    <row r="340">
      <c r="A340" s="159"/>
      <c r="B340" s="160"/>
      <c r="C340" s="161"/>
      <c r="D340" s="162"/>
      <c r="E340" s="163"/>
      <c r="F340" s="79"/>
      <c r="G340" s="164"/>
      <c r="H340" s="165">
        <f t="shared" si="1"/>
        <v>362243.91</v>
      </c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</row>
    <row r="341">
      <c r="A341" s="159"/>
      <c r="B341" s="160"/>
      <c r="C341" s="161"/>
      <c r="D341" s="162"/>
      <c r="E341" s="163"/>
      <c r="F341" s="79"/>
      <c r="G341" s="164"/>
      <c r="H341" s="165">
        <f t="shared" si="1"/>
        <v>362243.91</v>
      </c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</row>
    <row r="342">
      <c r="A342" s="159"/>
      <c r="B342" s="160"/>
      <c r="C342" s="161"/>
      <c r="D342" s="162"/>
      <c r="E342" s="163"/>
      <c r="F342" s="79"/>
      <c r="G342" s="164"/>
      <c r="H342" s="165">
        <f t="shared" si="1"/>
        <v>362243.91</v>
      </c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</row>
    <row r="343">
      <c r="A343" s="159"/>
      <c r="B343" s="160"/>
      <c r="C343" s="161"/>
      <c r="D343" s="162"/>
      <c r="E343" s="163"/>
      <c r="F343" s="79"/>
      <c r="G343" s="164"/>
      <c r="H343" s="165">
        <f t="shared" si="1"/>
        <v>362243.91</v>
      </c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</row>
    <row r="344">
      <c r="A344" s="159"/>
      <c r="B344" s="160"/>
      <c r="C344" s="161"/>
      <c r="D344" s="162"/>
      <c r="E344" s="163"/>
      <c r="F344" s="79"/>
      <c r="G344" s="164"/>
      <c r="H344" s="165">
        <f t="shared" si="1"/>
        <v>362243.91</v>
      </c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</row>
    <row r="345">
      <c r="A345" s="159"/>
      <c r="B345" s="160"/>
      <c r="C345" s="161"/>
      <c r="D345" s="162"/>
      <c r="E345" s="163"/>
      <c r="F345" s="79"/>
      <c r="G345" s="164"/>
      <c r="H345" s="165">
        <f t="shared" si="1"/>
        <v>362243.91</v>
      </c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</row>
    <row r="346">
      <c r="A346" s="159"/>
      <c r="B346" s="160"/>
      <c r="C346" s="161"/>
      <c r="D346" s="162"/>
      <c r="E346" s="163"/>
      <c r="F346" s="79"/>
      <c r="G346" s="164"/>
      <c r="H346" s="165">
        <f t="shared" si="1"/>
        <v>362243.91</v>
      </c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</row>
    <row r="347">
      <c r="A347" s="159"/>
      <c r="B347" s="160"/>
      <c r="C347" s="161"/>
      <c r="D347" s="162"/>
      <c r="E347" s="163"/>
      <c r="F347" s="79"/>
      <c r="G347" s="164"/>
      <c r="H347" s="165">
        <f t="shared" si="1"/>
        <v>362243.91</v>
      </c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</row>
    <row r="348">
      <c r="A348" s="159"/>
      <c r="B348" s="160"/>
      <c r="C348" s="161"/>
      <c r="D348" s="162"/>
      <c r="E348" s="163"/>
      <c r="F348" s="79"/>
      <c r="G348" s="164"/>
      <c r="H348" s="165">
        <f t="shared" si="1"/>
        <v>362243.91</v>
      </c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</row>
    <row r="349">
      <c r="A349" s="159"/>
      <c r="B349" s="160"/>
      <c r="C349" s="161"/>
      <c r="D349" s="162"/>
      <c r="E349" s="163"/>
      <c r="F349" s="79"/>
      <c r="G349" s="164"/>
      <c r="H349" s="165">
        <f t="shared" si="1"/>
        <v>362243.91</v>
      </c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</row>
    <row r="350">
      <c r="A350" s="159"/>
      <c r="B350" s="160"/>
      <c r="C350" s="161"/>
      <c r="D350" s="162"/>
      <c r="E350" s="163"/>
      <c r="F350" s="79"/>
      <c r="G350" s="164"/>
      <c r="H350" s="165">
        <f t="shared" si="1"/>
        <v>362243.91</v>
      </c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</row>
    <row r="351">
      <c r="A351" s="159"/>
      <c r="B351" s="160"/>
      <c r="C351" s="161"/>
      <c r="D351" s="162"/>
      <c r="E351" s="163"/>
      <c r="F351" s="79"/>
      <c r="G351" s="164"/>
      <c r="H351" s="165">
        <f t="shared" si="1"/>
        <v>362243.91</v>
      </c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</row>
    <row r="352">
      <c r="A352" s="159"/>
      <c r="B352" s="160"/>
      <c r="C352" s="161"/>
      <c r="D352" s="162"/>
      <c r="E352" s="163"/>
      <c r="F352" s="79"/>
      <c r="G352" s="164"/>
      <c r="H352" s="165">
        <f t="shared" si="1"/>
        <v>362243.91</v>
      </c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</row>
    <row r="353">
      <c r="A353" s="159"/>
      <c r="B353" s="160"/>
      <c r="C353" s="161"/>
      <c r="D353" s="162"/>
      <c r="E353" s="163"/>
      <c r="F353" s="79"/>
      <c r="G353" s="164"/>
      <c r="H353" s="165">
        <f t="shared" si="1"/>
        <v>362243.91</v>
      </c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</row>
    <row r="354">
      <c r="A354" s="159"/>
      <c r="B354" s="160"/>
      <c r="C354" s="161"/>
      <c r="D354" s="162"/>
      <c r="E354" s="163"/>
      <c r="F354" s="79"/>
      <c r="G354" s="164"/>
      <c r="H354" s="165">
        <f t="shared" si="1"/>
        <v>362243.91</v>
      </c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</row>
    <row r="355">
      <c r="A355" s="159"/>
      <c r="B355" s="160"/>
      <c r="C355" s="161"/>
      <c r="D355" s="162"/>
      <c r="E355" s="163"/>
      <c r="F355" s="79"/>
      <c r="G355" s="164"/>
      <c r="H355" s="165">
        <f t="shared" si="1"/>
        <v>362243.91</v>
      </c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</row>
    <row r="356">
      <c r="A356" s="159"/>
      <c r="B356" s="160"/>
      <c r="C356" s="161"/>
      <c r="D356" s="162"/>
      <c r="E356" s="163"/>
      <c r="F356" s="79"/>
      <c r="G356" s="164"/>
      <c r="H356" s="165">
        <f t="shared" si="1"/>
        <v>362243.91</v>
      </c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</row>
    <row r="357">
      <c r="A357" s="159"/>
      <c r="B357" s="160"/>
      <c r="C357" s="161"/>
      <c r="D357" s="162"/>
      <c r="E357" s="163"/>
      <c r="F357" s="79"/>
      <c r="G357" s="164"/>
      <c r="H357" s="165">
        <f t="shared" si="1"/>
        <v>362243.91</v>
      </c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</row>
    <row r="358">
      <c r="A358" s="159"/>
      <c r="B358" s="160"/>
      <c r="C358" s="161"/>
      <c r="D358" s="162"/>
      <c r="E358" s="163"/>
      <c r="F358" s="79"/>
      <c r="G358" s="164"/>
      <c r="H358" s="165">
        <f t="shared" si="1"/>
        <v>362243.91</v>
      </c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</row>
    <row r="359">
      <c r="A359" s="159"/>
      <c r="B359" s="160"/>
      <c r="C359" s="161"/>
      <c r="D359" s="162"/>
      <c r="E359" s="163"/>
      <c r="F359" s="79"/>
      <c r="G359" s="164"/>
      <c r="H359" s="165">
        <f t="shared" si="1"/>
        <v>362243.91</v>
      </c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</row>
    <row r="360">
      <c r="A360" s="159"/>
      <c r="B360" s="160"/>
      <c r="C360" s="161"/>
      <c r="D360" s="162"/>
      <c r="E360" s="163"/>
      <c r="F360" s="79"/>
      <c r="G360" s="164"/>
      <c r="H360" s="165">
        <f t="shared" si="1"/>
        <v>362243.91</v>
      </c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</row>
    <row r="361">
      <c r="A361" s="159"/>
      <c r="B361" s="160"/>
      <c r="C361" s="161"/>
      <c r="D361" s="162"/>
      <c r="E361" s="163"/>
      <c r="F361" s="79"/>
      <c r="G361" s="164"/>
      <c r="H361" s="165">
        <f t="shared" si="1"/>
        <v>362243.91</v>
      </c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</row>
    <row r="362">
      <c r="A362" s="159"/>
      <c r="B362" s="160"/>
      <c r="C362" s="161"/>
      <c r="D362" s="162"/>
      <c r="E362" s="163"/>
      <c r="F362" s="79"/>
      <c r="G362" s="164"/>
      <c r="H362" s="165">
        <f t="shared" si="1"/>
        <v>362243.91</v>
      </c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</row>
    <row r="363">
      <c r="A363" s="159"/>
      <c r="B363" s="160"/>
      <c r="C363" s="161"/>
      <c r="D363" s="162"/>
      <c r="E363" s="163"/>
      <c r="F363" s="79"/>
      <c r="G363" s="164"/>
      <c r="H363" s="165">
        <f t="shared" si="1"/>
        <v>362243.91</v>
      </c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</row>
    <row r="364">
      <c r="A364" s="159"/>
      <c r="B364" s="160"/>
      <c r="C364" s="161"/>
      <c r="D364" s="162"/>
      <c r="E364" s="163"/>
      <c r="F364" s="79"/>
      <c r="G364" s="164"/>
      <c r="H364" s="165">
        <f t="shared" si="1"/>
        <v>362243.91</v>
      </c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</row>
    <row r="365">
      <c r="A365" s="159"/>
      <c r="B365" s="160"/>
      <c r="C365" s="161"/>
      <c r="D365" s="162"/>
      <c r="E365" s="163"/>
      <c r="F365" s="79"/>
      <c r="G365" s="164"/>
      <c r="H365" s="165">
        <f t="shared" si="1"/>
        <v>362243.91</v>
      </c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</row>
    <row r="366">
      <c r="A366" s="159"/>
      <c r="B366" s="160"/>
      <c r="C366" s="161"/>
      <c r="D366" s="162"/>
      <c r="E366" s="163"/>
      <c r="F366" s="79"/>
      <c r="G366" s="164"/>
      <c r="H366" s="165">
        <f t="shared" si="1"/>
        <v>362243.91</v>
      </c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</row>
    <row r="367">
      <c r="A367" s="159"/>
      <c r="B367" s="160"/>
      <c r="C367" s="161"/>
      <c r="D367" s="162"/>
      <c r="E367" s="163"/>
      <c r="F367" s="79"/>
      <c r="G367" s="164"/>
      <c r="H367" s="165">
        <f t="shared" si="1"/>
        <v>362243.91</v>
      </c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</row>
    <row r="368">
      <c r="A368" s="159"/>
      <c r="B368" s="160"/>
      <c r="C368" s="161"/>
      <c r="D368" s="162"/>
      <c r="E368" s="163"/>
      <c r="F368" s="79"/>
      <c r="G368" s="164"/>
      <c r="H368" s="165">
        <f t="shared" si="1"/>
        <v>362243.91</v>
      </c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</row>
    <row r="369">
      <c r="A369" s="159"/>
      <c r="B369" s="160"/>
      <c r="C369" s="161"/>
      <c r="D369" s="162"/>
      <c r="E369" s="163"/>
      <c r="F369" s="79"/>
      <c r="G369" s="164"/>
      <c r="H369" s="165">
        <f t="shared" si="1"/>
        <v>362243.91</v>
      </c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</row>
    <row r="370">
      <c r="A370" s="159"/>
      <c r="B370" s="160"/>
      <c r="C370" s="161"/>
      <c r="D370" s="162"/>
      <c r="E370" s="163"/>
      <c r="F370" s="79"/>
      <c r="G370" s="164"/>
      <c r="H370" s="165">
        <f t="shared" si="1"/>
        <v>362243.91</v>
      </c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</row>
    <row r="371">
      <c r="A371" s="159"/>
      <c r="B371" s="160"/>
      <c r="C371" s="161"/>
      <c r="D371" s="162"/>
      <c r="E371" s="163"/>
      <c r="F371" s="79"/>
      <c r="G371" s="164"/>
      <c r="H371" s="165">
        <f t="shared" si="1"/>
        <v>362243.91</v>
      </c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</row>
    <row r="372">
      <c r="A372" s="159"/>
      <c r="B372" s="160"/>
      <c r="C372" s="161"/>
      <c r="D372" s="162"/>
      <c r="E372" s="163"/>
      <c r="F372" s="79"/>
      <c r="G372" s="164"/>
      <c r="H372" s="165">
        <f t="shared" si="1"/>
        <v>362243.91</v>
      </c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</row>
    <row r="373">
      <c r="A373" s="159"/>
      <c r="B373" s="160"/>
      <c r="C373" s="161"/>
      <c r="D373" s="162"/>
      <c r="E373" s="163"/>
      <c r="F373" s="79"/>
      <c r="G373" s="164"/>
      <c r="H373" s="165">
        <f t="shared" si="1"/>
        <v>362243.91</v>
      </c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</row>
    <row r="374">
      <c r="A374" s="159"/>
      <c r="B374" s="160"/>
      <c r="C374" s="161"/>
      <c r="D374" s="162"/>
      <c r="E374" s="163"/>
      <c r="F374" s="79"/>
      <c r="G374" s="164"/>
      <c r="H374" s="165">
        <f t="shared" si="1"/>
        <v>362243.91</v>
      </c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</row>
    <row r="375">
      <c r="A375" s="159"/>
      <c r="B375" s="160"/>
      <c r="C375" s="161"/>
      <c r="D375" s="162"/>
      <c r="E375" s="163"/>
      <c r="F375" s="79"/>
      <c r="G375" s="164"/>
      <c r="H375" s="165">
        <f t="shared" si="1"/>
        <v>362243.91</v>
      </c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</row>
    <row r="376">
      <c r="A376" s="159"/>
      <c r="B376" s="160"/>
      <c r="C376" s="161"/>
      <c r="D376" s="162"/>
      <c r="E376" s="163"/>
      <c r="F376" s="79"/>
      <c r="G376" s="164"/>
      <c r="H376" s="165">
        <f t="shared" si="1"/>
        <v>362243.91</v>
      </c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</row>
    <row r="377">
      <c r="A377" s="159"/>
      <c r="B377" s="160"/>
      <c r="C377" s="161"/>
      <c r="D377" s="162"/>
      <c r="E377" s="163"/>
      <c r="F377" s="79"/>
      <c r="G377" s="164"/>
      <c r="H377" s="165">
        <f t="shared" si="1"/>
        <v>362243.91</v>
      </c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</row>
    <row r="378">
      <c r="A378" s="159"/>
      <c r="B378" s="160"/>
      <c r="C378" s="161"/>
      <c r="D378" s="162"/>
      <c r="E378" s="163"/>
      <c r="F378" s="79"/>
      <c r="G378" s="164"/>
      <c r="H378" s="165">
        <f t="shared" si="1"/>
        <v>362243.91</v>
      </c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</row>
    <row r="379">
      <c r="A379" s="159"/>
      <c r="B379" s="160"/>
      <c r="C379" s="161"/>
      <c r="D379" s="162"/>
      <c r="E379" s="163"/>
      <c r="F379" s="79"/>
      <c r="G379" s="164"/>
      <c r="H379" s="165">
        <f t="shared" si="1"/>
        <v>362243.91</v>
      </c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</row>
    <row r="380">
      <c r="A380" s="159"/>
      <c r="B380" s="160"/>
      <c r="C380" s="161"/>
      <c r="D380" s="162"/>
      <c r="E380" s="163"/>
      <c r="F380" s="79"/>
      <c r="G380" s="164"/>
      <c r="H380" s="165">
        <f t="shared" si="1"/>
        <v>362243.91</v>
      </c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</row>
    <row r="381">
      <c r="A381" s="159"/>
      <c r="B381" s="160"/>
      <c r="C381" s="161"/>
      <c r="D381" s="162"/>
      <c r="E381" s="163"/>
      <c r="F381" s="79"/>
      <c r="G381" s="164"/>
      <c r="H381" s="165">
        <f t="shared" si="1"/>
        <v>362243.91</v>
      </c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</row>
    <row r="382">
      <c r="A382" s="159"/>
      <c r="B382" s="160"/>
      <c r="C382" s="161"/>
      <c r="D382" s="162"/>
      <c r="E382" s="163"/>
      <c r="F382" s="79"/>
      <c r="G382" s="164"/>
      <c r="H382" s="165">
        <f t="shared" si="1"/>
        <v>362243.91</v>
      </c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</row>
    <row r="383">
      <c r="A383" s="159"/>
      <c r="B383" s="160"/>
      <c r="C383" s="161"/>
      <c r="D383" s="162"/>
      <c r="E383" s="163"/>
      <c r="F383" s="79"/>
      <c r="G383" s="164"/>
      <c r="H383" s="165">
        <f t="shared" si="1"/>
        <v>362243.91</v>
      </c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</row>
    <row r="384">
      <c r="A384" s="159"/>
      <c r="B384" s="160"/>
      <c r="C384" s="161"/>
      <c r="D384" s="162"/>
      <c r="E384" s="163"/>
      <c r="F384" s="79"/>
      <c r="G384" s="164"/>
      <c r="H384" s="165">
        <f t="shared" si="1"/>
        <v>362243.91</v>
      </c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</row>
    <row r="385">
      <c r="A385" s="159"/>
      <c r="B385" s="160"/>
      <c r="C385" s="161"/>
      <c r="D385" s="162"/>
      <c r="E385" s="163"/>
      <c r="F385" s="79"/>
      <c r="G385" s="164"/>
      <c r="H385" s="165">
        <f t="shared" si="1"/>
        <v>362243.91</v>
      </c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</row>
    <row r="386">
      <c r="A386" s="159"/>
      <c r="B386" s="160"/>
      <c r="C386" s="161"/>
      <c r="D386" s="162"/>
      <c r="E386" s="163"/>
      <c r="F386" s="79"/>
      <c r="G386" s="164"/>
      <c r="H386" s="165">
        <f t="shared" si="1"/>
        <v>362243.91</v>
      </c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</row>
    <row r="387">
      <c r="A387" s="159"/>
      <c r="B387" s="160"/>
      <c r="C387" s="161"/>
      <c r="D387" s="162"/>
      <c r="E387" s="163"/>
      <c r="F387" s="79"/>
      <c r="G387" s="164"/>
      <c r="H387" s="165">
        <f t="shared" si="1"/>
        <v>362243.91</v>
      </c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</row>
    <row r="388">
      <c r="A388" s="159"/>
      <c r="B388" s="160"/>
      <c r="C388" s="161"/>
      <c r="D388" s="162"/>
      <c r="E388" s="163"/>
      <c r="F388" s="79"/>
      <c r="G388" s="164"/>
      <c r="H388" s="165">
        <f t="shared" si="1"/>
        <v>362243.91</v>
      </c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</row>
    <row r="389">
      <c r="A389" s="159"/>
      <c r="B389" s="160"/>
      <c r="C389" s="161"/>
      <c r="D389" s="162"/>
      <c r="E389" s="163"/>
      <c r="F389" s="79"/>
      <c r="G389" s="164"/>
      <c r="H389" s="165">
        <f t="shared" si="1"/>
        <v>362243.91</v>
      </c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</row>
    <row r="390">
      <c r="A390" s="159"/>
      <c r="B390" s="160"/>
      <c r="C390" s="161"/>
      <c r="D390" s="162"/>
      <c r="E390" s="163"/>
      <c r="F390" s="79"/>
      <c r="G390" s="164"/>
      <c r="H390" s="165">
        <f t="shared" si="1"/>
        <v>362243.91</v>
      </c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</row>
    <row r="391">
      <c r="A391" s="159"/>
      <c r="B391" s="160"/>
      <c r="C391" s="161"/>
      <c r="D391" s="162"/>
      <c r="E391" s="163"/>
      <c r="F391" s="79"/>
      <c r="G391" s="164"/>
      <c r="H391" s="165">
        <f t="shared" si="1"/>
        <v>362243.91</v>
      </c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</row>
    <row r="392">
      <c r="A392" s="159"/>
      <c r="B392" s="160"/>
      <c r="C392" s="161"/>
      <c r="D392" s="162"/>
      <c r="E392" s="163"/>
      <c r="F392" s="79"/>
      <c r="G392" s="164"/>
      <c r="H392" s="165">
        <f t="shared" si="1"/>
        <v>362243.91</v>
      </c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</row>
    <row r="393">
      <c r="A393" s="159"/>
      <c r="B393" s="160"/>
      <c r="C393" s="161"/>
      <c r="D393" s="162"/>
      <c r="E393" s="163"/>
      <c r="F393" s="79"/>
      <c r="G393" s="164"/>
      <c r="H393" s="165">
        <f t="shared" si="1"/>
        <v>362243.91</v>
      </c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</row>
    <row r="394">
      <c r="A394" s="159"/>
      <c r="B394" s="160"/>
      <c r="C394" s="161"/>
      <c r="D394" s="162"/>
      <c r="E394" s="163"/>
      <c r="F394" s="79"/>
      <c r="G394" s="164"/>
      <c r="H394" s="165">
        <f t="shared" si="1"/>
        <v>362243.91</v>
      </c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</row>
    <row r="395">
      <c r="A395" s="159"/>
      <c r="B395" s="160"/>
      <c r="C395" s="161"/>
      <c r="D395" s="162"/>
      <c r="E395" s="163"/>
      <c r="F395" s="79"/>
      <c r="G395" s="164"/>
      <c r="H395" s="165">
        <f t="shared" si="1"/>
        <v>362243.91</v>
      </c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</row>
    <row r="396">
      <c r="A396" s="159"/>
      <c r="B396" s="160"/>
      <c r="C396" s="161"/>
      <c r="D396" s="162"/>
      <c r="E396" s="163"/>
      <c r="F396" s="79"/>
      <c r="G396" s="164"/>
      <c r="H396" s="165">
        <f t="shared" si="1"/>
        <v>362243.91</v>
      </c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</row>
    <row r="397">
      <c r="A397" s="159"/>
      <c r="B397" s="160"/>
      <c r="C397" s="161"/>
      <c r="D397" s="162"/>
      <c r="E397" s="163"/>
      <c r="F397" s="79"/>
      <c r="G397" s="164"/>
      <c r="H397" s="165">
        <f t="shared" si="1"/>
        <v>362243.91</v>
      </c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</row>
    <row r="398">
      <c r="A398" s="159"/>
      <c r="B398" s="160"/>
      <c r="C398" s="161"/>
      <c r="D398" s="162"/>
      <c r="E398" s="163"/>
      <c r="F398" s="79"/>
      <c r="G398" s="164"/>
      <c r="H398" s="165">
        <f t="shared" si="1"/>
        <v>362243.91</v>
      </c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</row>
    <row r="399">
      <c r="A399" s="159"/>
      <c r="B399" s="160"/>
      <c r="C399" s="161"/>
      <c r="D399" s="162"/>
      <c r="E399" s="163"/>
      <c r="F399" s="79"/>
      <c r="G399" s="164"/>
      <c r="H399" s="165">
        <f t="shared" si="1"/>
        <v>362243.91</v>
      </c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</row>
    <row r="400">
      <c r="A400" s="159"/>
      <c r="B400" s="160"/>
      <c r="C400" s="161"/>
      <c r="D400" s="162"/>
      <c r="E400" s="163"/>
      <c r="F400" s="79"/>
      <c r="G400" s="164"/>
      <c r="H400" s="165">
        <f t="shared" si="1"/>
        <v>362243.91</v>
      </c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</row>
    <row r="401">
      <c r="A401" s="159"/>
      <c r="B401" s="160"/>
      <c r="C401" s="161"/>
      <c r="D401" s="162"/>
      <c r="E401" s="163"/>
      <c r="F401" s="79"/>
      <c r="G401" s="164"/>
      <c r="H401" s="165">
        <f t="shared" si="1"/>
        <v>362243.91</v>
      </c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</row>
    <row r="402">
      <c r="A402" s="159"/>
      <c r="B402" s="160"/>
      <c r="C402" s="161"/>
      <c r="D402" s="162"/>
      <c r="E402" s="163"/>
      <c r="F402" s="79"/>
      <c r="G402" s="164"/>
      <c r="H402" s="165">
        <f t="shared" si="1"/>
        <v>362243.91</v>
      </c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</row>
    <row r="403">
      <c r="A403" s="159"/>
      <c r="B403" s="160"/>
      <c r="C403" s="161"/>
      <c r="D403" s="162"/>
      <c r="E403" s="163"/>
      <c r="F403" s="79"/>
      <c r="G403" s="164"/>
      <c r="H403" s="165">
        <f t="shared" si="1"/>
        <v>362243.91</v>
      </c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</row>
    <row r="404">
      <c r="A404" s="159"/>
      <c r="B404" s="160"/>
      <c r="C404" s="161"/>
      <c r="D404" s="162"/>
      <c r="E404" s="163"/>
      <c r="F404" s="79"/>
      <c r="G404" s="164"/>
      <c r="H404" s="165">
        <f t="shared" si="1"/>
        <v>362243.91</v>
      </c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</row>
    <row r="405">
      <c r="A405" s="159"/>
      <c r="B405" s="160"/>
      <c r="C405" s="161"/>
      <c r="D405" s="162"/>
      <c r="E405" s="163"/>
      <c r="F405" s="79"/>
      <c r="G405" s="164"/>
      <c r="H405" s="165">
        <f t="shared" si="1"/>
        <v>362243.91</v>
      </c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</row>
    <row r="406">
      <c r="A406" s="159"/>
      <c r="B406" s="160"/>
      <c r="C406" s="161"/>
      <c r="D406" s="162"/>
      <c r="E406" s="163"/>
      <c r="F406" s="79"/>
      <c r="G406" s="164"/>
      <c r="H406" s="165">
        <f t="shared" si="1"/>
        <v>362243.91</v>
      </c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</row>
    <row r="407">
      <c r="A407" s="159"/>
      <c r="B407" s="160"/>
      <c r="C407" s="161"/>
      <c r="D407" s="162"/>
      <c r="E407" s="163"/>
      <c r="F407" s="79"/>
      <c r="G407" s="164"/>
      <c r="H407" s="165">
        <f t="shared" si="1"/>
        <v>362243.91</v>
      </c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</row>
    <row r="408">
      <c r="A408" s="159"/>
      <c r="B408" s="160"/>
      <c r="C408" s="161"/>
      <c r="D408" s="162"/>
      <c r="E408" s="163"/>
      <c r="F408" s="79"/>
      <c r="G408" s="164"/>
      <c r="H408" s="165">
        <f t="shared" si="1"/>
        <v>362243.91</v>
      </c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</row>
    <row r="409">
      <c r="A409" s="159"/>
      <c r="B409" s="160"/>
      <c r="C409" s="161"/>
      <c r="D409" s="162"/>
      <c r="E409" s="163"/>
      <c r="F409" s="79"/>
      <c r="G409" s="164"/>
      <c r="H409" s="165">
        <f t="shared" si="1"/>
        <v>362243.91</v>
      </c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</row>
    <row r="410">
      <c r="A410" s="159"/>
      <c r="B410" s="160"/>
      <c r="C410" s="161"/>
      <c r="D410" s="162"/>
      <c r="E410" s="163"/>
      <c r="F410" s="79"/>
      <c r="G410" s="164"/>
      <c r="H410" s="165">
        <f t="shared" si="1"/>
        <v>362243.91</v>
      </c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</row>
    <row r="411">
      <c r="A411" s="159"/>
      <c r="B411" s="160"/>
      <c r="C411" s="161"/>
      <c r="D411" s="162"/>
      <c r="E411" s="163"/>
      <c r="F411" s="79"/>
      <c r="G411" s="164"/>
      <c r="H411" s="165">
        <f t="shared" si="1"/>
        <v>362243.91</v>
      </c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</row>
    <row r="412">
      <c r="A412" s="159"/>
      <c r="B412" s="160"/>
      <c r="C412" s="161"/>
      <c r="D412" s="162"/>
      <c r="E412" s="163"/>
      <c r="F412" s="79"/>
      <c r="G412" s="164"/>
      <c r="H412" s="165">
        <f t="shared" si="1"/>
        <v>362243.91</v>
      </c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</row>
    <row r="413">
      <c r="A413" s="159"/>
      <c r="B413" s="160"/>
      <c r="C413" s="161"/>
      <c r="D413" s="162"/>
      <c r="E413" s="163"/>
      <c r="F413" s="79"/>
      <c r="G413" s="164"/>
      <c r="H413" s="165">
        <f t="shared" si="1"/>
        <v>362243.91</v>
      </c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</row>
    <row r="414">
      <c r="A414" s="159"/>
      <c r="B414" s="160"/>
      <c r="C414" s="161"/>
      <c r="D414" s="162"/>
      <c r="E414" s="163"/>
      <c r="F414" s="79"/>
      <c r="G414" s="164"/>
      <c r="H414" s="165">
        <f t="shared" si="1"/>
        <v>362243.91</v>
      </c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</row>
    <row r="415">
      <c r="A415" s="159"/>
      <c r="B415" s="160"/>
      <c r="C415" s="161"/>
      <c r="D415" s="162"/>
      <c r="E415" s="163"/>
      <c r="F415" s="79"/>
      <c r="G415" s="164"/>
      <c r="H415" s="165">
        <f t="shared" si="1"/>
        <v>362243.91</v>
      </c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</row>
    <row r="416">
      <c r="A416" s="159"/>
      <c r="B416" s="160"/>
      <c r="C416" s="161"/>
      <c r="D416" s="162"/>
      <c r="E416" s="163"/>
      <c r="F416" s="79"/>
      <c r="G416" s="164"/>
      <c r="H416" s="165">
        <f t="shared" si="1"/>
        <v>362243.91</v>
      </c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</row>
    <row r="417">
      <c r="A417" s="159"/>
      <c r="B417" s="160"/>
      <c r="C417" s="161"/>
      <c r="D417" s="162"/>
      <c r="E417" s="163"/>
      <c r="F417" s="79"/>
      <c r="G417" s="164"/>
      <c r="H417" s="165">
        <f t="shared" si="1"/>
        <v>362243.91</v>
      </c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</row>
    <row r="418">
      <c r="A418" s="159"/>
      <c r="B418" s="160"/>
      <c r="C418" s="161"/>
      <c r="D418" s="162"/>
      <c r="E418" s="163"/>
      <c r="F418" s="79"/>
      <c r="G418" s="164"/>
      <c r="H418" s="165">
        <f t="shared" si="1"/>
        <v>362243.91</v>
      </c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</row>
    <row r="419">
      <c r="A419" s="159"/>
      <c r="B419" s="160"/>
      <c r="C419" s="161"/>
      <c r="D419" s="162"/>
      <c r="E419" s="163"/>
      <c r="F419" s="79"/>
      <c r="G419" s="164"/>
      <c r="H419" s="165">
        <f t="shared" si="1"/>
        <v>362243.91</v>
      </c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</row>
    <row r="420">
      <c r="A420" s="159"/>
      <c r="B420" s="160"/>
      <c r="C420" s="161"/>
      <c r="D420" s="162"/>
      <c r="E420" s="163"/>
      <c r="F420" s="79"/>
      <c r="G420" s="164"/>
      <c r="H420" s="165">
        <f t="shared" si="1"/>
        <v>362243.91</v>
      </c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</row>
    <row r="421">
      <c r="A421" s="159"/>
      <c r="B421" s="160"/>
      <c r="C421" s="161"/>
      <c r="D421" s="162"/>
      <c r="E421" s="163"/>
      <c r="F421" s="79"/>
      <c r="G421" s="164"/>
      <c r="H421" s="165">
        <f t="shared" si="1"/>
        <v>362243.91</v>
      </c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</row>
    <row r="422">
      <c r="A422" s="159"/>
      <c r="B422" s="160"/>
      <c r="C422" s="161"/>
      <c r="D422" s="162"/>
      <c r="E422" s="163"/>
      <c r="F422" s="79"/>
      <c r="G422" s="164"/>
      <c r="H422" s="165">
        <f t="shared" si="1"/>
        <v>362243.91</v>
      </c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</row>
    <row r="423">
      <c r="A423" s="159"/>
      <c r="B423" s="160"/>
      <c r="C423" s="161"/>
      <c r="D423" s="162"/>
      <c r="E423" s="163"/>
      <c r="F423" s="79"/>
      <c r="G423" s="164"/>
      <c r="H423" s="165">
        <f t="shared" si="1"/>
        <v>362243.91</v>
      </c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</row>
    <row r="424">
      <c r="A424" s="159"/>
      <c r="B424" s="160"/>
      <c r="C424" s="161"/>
      <c r="D424" s="162"/>
      <c r="E424" s="163"/>
      <c r="F424" s="79"/>
      <c r="G424" s="164"/>
      <c r="H424" s="165">
        <f t="shared" si="1"/>
        <v>362243.91</v>
      </c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</row>
    <row r="425">
      <c r="A425" s="159"/>
      <c r="B425" s="160"/>
      <c r="C425" s="161"/>
      <c r="D425" s="162"/>
      <c r="E425" s="163"/>
      <c r="F425" s="79"/>
      <c r="G425" s="164"/>
      <c r="H425" s="165">
        <f t="shared" si="1"/>
        <v>362243.91</v>
      </c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</row>
    <row r="426">
      <c r="A426" s="159"/>
      <c r="B426" s="160"/>
      <c r="C426" s="161"/>
      <c r="D426" s="162"/>
      <c r="E426" s="163"/>
      <c r="F426" s="79"/>
      <c r="G426" s="164"/>
      <c r="H426" s="165">
        <f t="shared" si="1"/>
        <v>362243.91</v>
      </c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</row>
    <row r="427">
      <c r="A427" s="159"/>
      <c r="B427" s="160"/>
      <c r="C427" s="161"/>
      <c r="D427" s="162"/>
      <c r="E427" s="163"/>
      <c r="F427" s="79"/>
      <c r="G427" s="164"/>
      <c r="H427" s="165">
        <f t="shared" si="1"/>
        <v>362243.91</v>
      </c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</row>
    <row r="428">
      <c r="A428" s="159"/>
      <c r="B428" s="160"/>
      <c r="C428" s="161"/>
      <c r="D428" s="162"/>
      <c r="E428" s="163"/>
      <c r="F428" s="79"/>
      <c r="G428" s="164"/>
      <c r="H428" s="165">
        <f t="shared" si="1"/>
        <v>362243.91</v>
      </c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</row>
    <row r="429">
      <c r="A429" s="159"/>
      <c r="B429" s="160"/>
      <c r="C429" s="161"/>
      <c r="D429" s="162"/>
      <c r="E429" s="163"/>
      <c r="F429" s="79"/>
      <c r="G429" s="164"/>
      <c r="H429" s="165">
        <f t="shared" si="1"/>
        <v>362243.91</v>
      </c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</row>
    <row r="430">
      <c r="A430" s="159"/>
      <c r="B430" s="160"/>
      <c r="C430" s="161"/>
      <c r="D430" s="162"/>
      <c r="E430" s="163"/>
      <c r="F430" s="79"/>
      <c r="G430" s="164"/>
      <c r="H430" s="165">
        <f t="shared" si="1"/>
        <v>362243.91</v>
      </c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</row>
    <row r="431">
      <c r="A431" s="159"/>
      <c r="B431" s="160"/>
      <c r="C431" s="161"/>
      <c r="D431" s="162"/>
      <c r="E431" s="163"/>
      <c r="F431" s="79"/>
      <c r="G431" s="164"/>
      <c r="H431" s="165">
        <f t="shared" si="1"/>
        <v>362243.91</v>
      </c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</row>
    <row r="432">
      <c r="A432" s="159"/>
      <c r="B432" s="160"/>
      <c r="C432" s="161"/>
      <c r="D432" s="162"/>
      <c r="E432" s="163"/>
      <c r="F432" s="79"/>
      <c r="G432" s="164"/>
      <c r="H432" s="165">
        <f t="shared" si="1"/>
        <v>362243.91</v>
      </c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</row>
    <row r="433">
      <c r="A433" s="159"/>
      <c r="B433" s="160"/>
      <c r="C433" s="161"/>
      <c r="D433" s="162"/>
      <c r="E433" s="163"/>
      <c r="F433" s="79"/>
      <c r="G433" s="164"/>
      <c r="H433" s="165">
        <f t="shared" si="1"/>
        <v>362243.91</v>
      </c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</row>
    <row r="434">
      <c r="A434" s="159"/>
      <c r="B434" s="160"/>
      <c r="C434" s="161"/>
      <c r="D434" s="162"/>
      <c r="E434" s="163"/>
      <c r="F434" s="79"/>
      <c r="G434" s="164"/>
      <c r="H434" s="165">
        <f t="shared" si="1"/>
        <v>362243.91</v>
      </c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</row>
    <row r="435">
      <c r="A435" s="159"/>
      <c r="B435" s="160"/>
      <c r="C435" s="161"/>
      <c r="D435" s="162"/>
      <c r="E435" s="163"/>
      <c r="F435" s="79"/>
      <c r="G435" s="164"/>
      <c r="H435" s="165">
        <f t="shared" si="1"/>
        <v>362243.91</v>
      </c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</row>
    <row r="436">
      <c r="A436" s="159"/>
      <c r="B436" s="160"/>
      <c r="C436" s="161"/>
      <c r="D436" s="162"/>
      <c r="E436" s="163"/>
      <c r="F436" s="79"/>
      <c r="G436" s="164"/>
      <c r="H436" s="165">
        <f t="shared" si="1"/>
        <v>362243.91</v>
      </c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</row>
    <row r="437">
      <c r="A437" s="159"/>
      <c r="B437" s="160"/>
      <c r="C437" s="161"/>
      <c r="D437" s="162"/>
      <c r="E437" s="163"/>
      <c r="F437" s="79"/>
      <c r="G437" s="164"/>
      <c r="H437" s="165">
        <f t="shared" si="1"/>
        <v>362243.91</v>
      </c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</row>
    <row r="438">
      <c r="A438" s="159"/>
      <c r="B438" s="160"/>
      <c r="C438" s="161"/>
      <c r="D438" s="162"/>
      <c r="E438" s="163"/>
      <c r="F438" s="79"/>
      <c r="G438" s="164"/>
      <c r="H438" s="165">
        <f t="shared" si="1"/>
        <v>362243.91</v>
      </c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</row>
    <row r="439">
      <c r="A439" s="159"/>
      <c r="B439" s="160"/>
      <c r="C439" s="161"/>
      <c r="D439" s="162"/>
      <c r="E439" s="163"/>
      <c r="F439" s="79"/>
      <c r="G439" s="164"/>
      <c r="H439" s="165">
        <f t="shared" si="1"/>
        <v>362243.91</v>
      </c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</row>
    <row r="440">
      <c r="A440" s="159"/>
      <c r="B440" s="160"/>
      <c r="C440" s="161"/>
      <c r="D440" s="162"/>
      <c r="E440" s="163"/>
      <c r="F440" s="79"/>
      <c r="G440" s="164"/>
      <c r="H440" s="165">
        <f t="shared" si="1"/>
        <v>362243.91</v>
      </c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</row>
    <row r="441">
      <c r="A441" s="159"/>
      <c r="B441" s="160"/>
      <c r="C441" s="161"/>
      <c r="D441" s="162"/>
      <c r="E441" s="163"/>
      <c r="F441" s="79"/>
      <c r="G441" s="164"/>
      <c r="H441" s="165">
        <f t="shared" si="1"/>
        <v>362243.91</v>
      </c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</row>
    <row r="442">
      <c r="A442" s="159"/>
      <c r="B442" s="160"/>
      <c r="C442" s="161"/>
      <c r="D442" s="162"/>
      <c r="E442" s="163"/>
      <c r="F442" s="79"/>
      <c r="G442" s="164"/>
      <c r="H442" s="165">
        <f t="shared" si="1"/>
        <v>362243.91</v>
      </c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</row>
    <row r="443">
      <c r="A443" s="159"/>
      <c r="B443" s="160"/>
      <c r="C443" s="161"/>
      <c r="D443" s="162"/>
      <c r="E443" s="163"/>
      <c r="F443" s="79"/>
      <c r="G443" s="164"/>
      <c r="H443" s="165">
        <f t="shared" si="1"/>
        <v>362243.91</v>
      </c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</row>
    <row r="444">
      <c r="A444" s="159"/>
      <c r="B444" s="160"/>
      <c r="C444" s="161"/>
      <c r="D444" s="162"/>
      <c r="E444" s="163"/>
      <c r="F444" s="79"/>
      <c r="G444" s="164"/>
      <c r="H444" s="165">
        <f t="shared" si="1"/>
        <v>362243.91</v>
      </c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</row>
    <row r="445">
      <c r="A445" s="159"/>
      <c r="B445" s="160"/>
      <c r="C445" s="161"/>
      <c r="D445" s="162"/>
      <c r="E445" s="163"/>
      <c r="F445" s="79"/>
      <c r="G445" s="164"/>
      <c r="H445" s="165">
        <f t="shared" si="1"/>
        <v>362243.91</v>
      </c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</row>
    <row r="446">
      <c r="A446" s="159"/>
      <c r="B446" s="160"/>
      <c r="C446" s="161"/>
      <c r="D446" s="162"/>
      <c r="E446" s="163"/>
      <c r="F446" s="79"/>
      <c r="G446" s="164"/>
      <c r="H446" s="165">
        <f t="shared" si="1"/>
        <v>362243.91</v>
      </c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</row>
    <row r="447">
      <c r="A447" s="159"/>
      <c r="B447" s="160"/>
      <c r="C447" s="161"/>
      <c r="D447" s="162"/>
      <c r="E447" s="163"/>
      <c r="F447" s="79"/>
      <c r="G447" s="164"/>
      <c r="H447" s="165">
        <f t="shared" si="1"/>
        <v>362243.91</v>
      </c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</row>
    <row r="448">
      <c r="A448" s="159"/>
      <c r="B448" s="160"/>
      <c r="C448" s="161"/>
      <c r="D448" s="162"/>
      <c r="E448" s="163"/>
      <c r="F448" s="79"/>
      <c r="G448" s="164"/>
      <c r="H448" s="165">
        <f t="shared" si="1"/>
        <v>362243.91</v>
      </c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</row>
    <row r="449">
      <c r="A449" s="159"/>
      <c r="B449" s="160"/>
      <c r="C449" s="161"/>
      <c r="D449" s="162"/>
      <c r="E449" s="163"/>
      <c r="F449" s="79"/>
      <c r="G449" s="164"/>
      <c r="H449" s="165">
        <f t="shared" si="1"/>
        <v>362243.91</v>
      </c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</row>
    <row r="450">
      <c r="A450" s="159"/>
      <c r="B450" s="160"/>
      <c r="C450" s="161"/>
      <c r="D450" s="162"/>
      <c r="E450" s="163"/>
      <c r="F450" s="79"/>
      <c r="G450" s="164"/>
      <c r="H450" s="165">
        <f t="shared" si="1"/>
        <v>362243.91</v>
      </c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</row>
    <row r="451">
      <c r="A451" s="159"/>
      <c r="B451" s="160"/>
      <c r="C451" s="161"/>
      <c r="D451" s="162"/>
      <c r="E451" s="163"/>
      <c r="F451" s="79"/>
      <c r="G451" s="164"/>
      <c r="H451" s="165">
        <f t="shared" si="1"/>
        <v>362243.91</v>
      </c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</row>
    <row r="452">
      <c r="A452" s="159"/>
      <c r="B452" s="160"/>
      <c r="C452" s="161"/>
      <c r="D452" s="162"/>
      <c r="E452" s="163"/>
      <c r="F452" s="79"/>
      <c r="G452" s="164"/>
      <c r="H452" s="165">
        <f t="shared" si="1"/>
        <v>362243.91</v>
      </c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</row>
    <row r="453">
      <c r="A453" s="159"/>
      <c r="B453" s="160"/>
      <c r="C453" s="161"/>
      <c r="D453" s="162"/>
      <c r="E453" s="163"/>
      <c r="F453" s="79"/>
      <c r="G453" s="164"/>
      <c r="H453" s="165">
        <f t="shared" si="1"/>
        <v>362243.91</v>
      </c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</row>
    <row r="454">
      <c r="A454" s="159"/>
      <c r="B454" s="160"/>
      <c r="C454" s="161"/>
      <c r="D454" s="162"/>
      <c r="E454" s="163"/>
      <c r="F454" s="79"/>
      <c r="G454" s="164"/>
      <c r="H454" s="165">
        <f t="shared" si="1"/>
        <v>362243.91</v>
      </c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</row>
    <row r="455">
      <c r="A455" s="159"/>
      <c r="B455" s="160"/>
      <c r="C455" s="161"/>
      <c r="D455" s="162"/>
      <c r="E455" s="163"/>
      <c r="F455" s="79"/>
      <c r="G455" s="164"/>
      <c r="H455" s="165">
        <f t="shared" si="1"/>
        <v>362243.91</v>
      </c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</row>
    <row r="456">
      <c r="A456" s="159"/>
      <c r="B456" s="160"/>
      <c r="C456" s="161"/>
      <c r="D456" s="162"/>
      <c r="E456" s="163"/>
      <c r="F456" s="79"/>
      <c r="G456" s="164"/>
      <c r="H456" s="165">
        <f t="shared" si="1"/>
        <v>362243.91</v>
      </c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</row>
    <row r="457">
      <c r="A457" s="159"/>
      <c r="B457" s="160"/>
      <c r="C457" s="161"/>
      <c r="D457" s="162"/>
      <c r="E457" s="163"/>
      <c r="F457" s="79"/>
      <c r="G457" s="164"/>
      <c r="H457" s="165">
        <f t="shared" si="1"/>
        <v>362243.91</v>
      </c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</row>
    <row r="458">
      <c r="A458" s="159"/>
      <c r="B458" s="160"/>
      <c r="C458" s="161"/>
      <c r="D458" s="162"/>
      <c r="E458" s="163"/>
      <c r="F458" s="79"/>
      <c r="G458" s="164"/>
      <c r="H458" s="165">
        <f t="shared" si="1"/>
        <v>362243.91</v>
      </c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</row>
    <row r="459">
      <c r="A459" s="159"/>
      <c r="B459" s="160"/>
      <c r="C459" s="161"/>
      <c r="D459" s="162"/>
      <c r="E459" s="163"/>
      <c r="F459" s="79"/>
      <c r="G459" s="164"/>
      <c r="H459" s="165">
        <f t="shared" si="1"/>
        <v>362243.91</v>
      </c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</row>
    <row r="460">
      <c r="A460" s="159"/>
      <c r="B460" s="160"/>
      <c r="C460" s="161"/>
      <c r="D460" s="162"/>
      <c r="E460" s="163"/>
      <c r="F460" s="79"/>
      <c r="G460" s="164"/>
      <c r="H460" s="165">
        <f t="shared" si="1"/>
        <v>362243.91</v>
      </c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</row>
    <row r="461">
      <c r="A461" s="159"/>
      <c r="B461" s="160"/>
      <c r="C461" s="161"/>
      <c r="D461" s="162"/>
      <c r="E461" s="163"/>
      <c r="F461" s="79"/>
      <c r="G461" s="164"/>
      <c r="H461" s="165">
        <f t="shared" si="1"/>
        <v>362243.91</v>
      </c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</row>
    <row r="462">
      <c r="A462" s="159"/>
      <c r="B462" s="160"/>
      <c r="C462" s="161"/>
      <c r="D462" s="162"/>
      <c r="E462" s="163"/>
      <c r="F462" s="79"/>
      <c r="G462" s="164"/>
      <c r="H462" s="165">
        <f t="shared" si="1"/>
        <v>362243.91</v>
      </c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</row>
    <row r="463">
      <c r="A463" s="159"/>
      <c r="B463" s="160"/>
      <c r="C463" s="161"/>
      <c r="D463" s="162"/>
      <c r="E463" s="163"/>
      <c r="F463" s="79"/>
      <c r="G463" s="164"/>
      <c r="H463" s="165">
        <f t="shared" si="1"/>
        <v>362243.91</v>
      </c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</row>
    <row r="464">
      <c r="A464" s="159"/>
      <c r="B464" s="160"/>
      <c r="C464" s="161"/>
      <c r="D464" s="162"/>
      <c r="E464" s="163"/>
      <c r="F464" s="79"/>
      <c r="G464" s="164"/>
      <c r="H464" s="165">
        <f t="shared" si="1"/>
        <v>362243.91</v>
      </c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</row>
    <row r="465">
      <c r="A465" s="159"/>
      <c r="B465" s="160"/>
      <c r="C465" s="161"/>
      <c r="D465" s="162"/>
      <c r="E465" s="163"/>
      <c r="F465" s="79"/>
      <c r="G465" s="164"/>
      <c r="H465" s="165">
        <f t="shared" si="1"/>
        <v>362243.91</v>
      </c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</row>
    <row r="466">
      <c r="A466" s="159"/>
      <c r="B466" s="160"/>
      <c r="C466" s="161"/>
      <c r="D466" s="162"/>
      <c r="E466" s="163"/>
      <c r="F466" s="79"/>
      <c r="G466" s="164"/>
      <c r="H466" s="165">
        <f t="shared" si="1"/>
        <v>362243.91</v>
      </c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</row>
    <row r="467">
      <c r="A467" s="159"/>
      <c r="B467" s="160"/>
      <c r="C467" s="161"/>
      <c r="D467" s="162"/>
      <c r="E467" s="163"/>
      <c r="F467" s="79"/>
      <c r="G467" s="164"/>
      <c r="H467" s="165">
        <f t="shared" si="1"/>
        <v>362243.91</v>
      </c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</row>
    <row r="468">
      <c r="A468" s="159"/>
      <c r="B468" s="160"/>
      <c r="C468" s="161"/>
      <c r="D468" s="162"/>
      <c r="E468" s="163"/>
      <c r="F468" s="79"/>
      <c r="G468" s="164"/>
      <c r="H468" s="165">
        <f t="shared" si="1"/>
        <v>362243.91</v>
      </c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</row>
    <row r="469">
      <c r="A469" s="159"/>
      <c r="B469" s="160"/>
      <c r="C469" s="161"/>
      <c r="D469" s="162"/>
      <c r="E469" s="163"/>
      <c r="F469" s="79"/>
      <c r="G469" s="164"/>
      <c r="H469" s="165">
        <f t="shared" si="1"/>
        <v>362243.91</v>
      </c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</row>
    <row r="470">
      <c r="A470" s="159"/>
      <c r="B470" s="160"/>
      <c r="C470" s="161"/>
      <c r="D470" s="162"/>
      <c r="E470" s="163"/>
      <c r="F470" s="79"/>
      <c r="G470" s="164"/>
      <c r="H470" s="165">
        <f t="shared" si="1"/>
        <v>362243.91</v>
      </c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</row>
    <row r="471">
      <c r="A471" s="159"/>
      <c r="B471" s="160"/>
      <c r="C471" s="161"/>
      <c r="D471" s="162"/>
      <c r="E471" s="163"/>
      <c r="F471" s="79"/>
      <c r="G471" s="164"/>
      <c r="H471" s="165">
        <f t="shared" si="1"/>
        <v>362243.91</v>
      </c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</row>
    <row r="472">
      <c r="A472" s="159"/>
      <c r="B472" s="160"/>
      <c r="C472" s="161"/>
      <c r="D472" s="162"/>
      <c r="E472" s="163"/>
      <c r="F472" s="79"/>
      <c r="G472" s="164"/>
      <c r="H472" s="165">
        <f t="shared" si="1"/>
        <v>362243.91</v>
      </c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</row>
    <row r="473">
      <c r="A473" s="159"/>
      <c r="B473" s="160"/>
      <c r="C473" s="161"/>
      <c r="D473" s="162"/>
      <c r="E473" s="163"/>
      <c r="F473" s="79"/>
      <c r="G473" s="164"/>
      <c r="H473" s="165">
        <f t="shared" si="1"/>
        <v>362243.91</v>
      </c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</row>
    <row r="474">
      <c r="A474" s="159"/>
      <c r="B474" s="160"/>
      <c r="C474" s="161"/>
      <c r="D474" s="162"/>
      <c r="E474" s="163"/>
      <c r="F474" s="79"/>
      <c r="G474" s="164"/>
      <c r="H474" s="165">
        <f t="shared" si="1"/>
        <v>362243.91</v>
      </c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</row>
    <row r="475">
      <c r="A475" s="159"/>
      <c r="B475" s="160"/>
      <c r="C475" s="161"/>
      <c r="D475" s="162"/>
      <c r="E475" s="163"/>
      <c r="F475" s="79"/>
      <c r="G475" s="164"/>
      <c r="H475" s="165">
        <f t="shared" si="1"/>
        <v>362243.91</v>
      </c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</row>
    <row r="476">
      <c r="A476" s="159"/>
      <c r="B476" s="160"/>
      <c r="C476" s="161"/>
      <c r="D476" s="162"/>
      <c r="E476" s="163"/>
      <c r="F476" s="79"/>
      <c r="G476" s="164"/>
      <c r="H476" s="165">
        <f t="shared" si="1"/>
        <v>362243.91</v>
      </c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</row>
    <row r="477">
      <c r="A477" s="159"/>
      <c r="B477" s="160"/>
      <c r="C477" s="161"/>
      <c r="D477" s="162"/>
      <c r="E477" s="163"/>
      <c r="F477" s="79"/>
      <c r="G477" s="164"/>
      <c r="H477" s="165">
        <f t="shared" si="1"/>
        <v>362243.91</v>
      </c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</row>
    <row r="478">
      <c r="A478" s="159"/>
      <c r="B478" s="160"/>
      <c r="C478" s="161"/>
      <c r="D478" s="162"/>
      <c r="E478" s="163"/>
      <c r="F478" s="79"/>
      <c r="G478" s="164"/>
      <c r="H478" s="165">
        <f t="shared" si="1"/>
        <v>362243.91</v>
      </c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</row>
    <row r="479">
      <c r="A479" s="159"/>
      <c r="B479" s="160"/>
      <c r="C479" s="161"/>
      <c r="D479" s="162"/>
      <c r="E479" s="163"/>
      <c r="F479" s="79"/>
      <c r="G479" s="164"/>
      <c r="H479" s="165">
        <f t="shared" si="1"/>
        <v>362243.91</v>
      </c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</row>
    <row r="480">
      <c r="A480" s="159"/>
      <c r="B480" s="160"/>
      <c r="C480" s="161"/>
      <c r="D480" s="162"/>
      <c r="E480" s="163"/>
      <c r="F480" s="79"/>
      <c r="G480" s="164"/>
      <c r="H480" s="165">
        <f t="shared" si="1"/>
        <v>362243.91</v>
      </c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</row>
    <row r="481">
      <c r="A481" s="159"/>
      <c r="B481" s="160"/>
      <c r="C481" s="161"/>
      <c r="D481" s="162"/>
      <c r="E481" s="163"/>
      <c r="F481" s="79"/>
      <c r="G481" s="164"/>
      <c r="H481" s="165">
        <f t="shared" si="1"/>
        <v>362243.91</v>
      </c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</row>
    <row r="482">
      <c r="A482" s="159"/>
      <c r="B482" s="160"/>
      <c r="C482" s="161"/>
      <c r="D482" s="162"/>
      <c r="E482" s="163"/>
      <c r="F482" s="79"/>
      <c r="G482" s="164"/>
      <c r="H482" s="165">
        <f t="shared" si="1"/>
        <v>362243.91</v>
      </c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</row>
    <row r="483">
      <c r="A483" s="159"/>
      <c r="B483" s="160"/>
      <c r="C483" s="161"/>
      <c r="D483" s="162"/>
      <c r="E483" s="163"/>
      <c r="F483" s="79"/>
      <c r="G483" s="164"/>
      <c r="H483" s="165">
        <f t="shared" si="1"/>
        <v>362243.91</v>
      </c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</row>
    <row r="484">
      <c r="A484" s="159"/>
      <c r="B484" s="160"/>
      <c r="C484" s="161"/>
      <c r="D484" s="162"/>
      <c r="E484" s="163"/>
      <c r="F484" s="79"/>
      <c r="G484" s="164"/>
      <c r="H484" s="165">
        <f t="shared" si="1"/>
        <v>362243.91</v>
      </c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</row>
    <row r="485">
      <c r="A485" s="159"/>
      <c r="B485" s="160"/>
      <c r="C485" s="161"/>
      <c r="D485" s="162"/>
      <c r="E485" s="163"/>
      <c r="F485" s="79"/>
      <c r="G485" s="164"/>
      <c r="H485" s="165">
        <f t="shared" si="1"/>
        <v>362243.91</v>
      </c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</row>
    <row r="486">
      <c r="A486" s="159"/>
      <c r="B486" s="160"/>
      <c r="C486" s="161"/>
      <c r="D486" s="162"/>
      <c r="E486" s="163"/>
      <c r="F486" s="79"/>
      <c r="G486" s="164"/>
      <c r="H486" s="165">
        <f t="shared" si="1"/>
        <v>362243.91</v>
      </c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</row>
    <row r="487">
      <c r="A487" s="159"/>
      <c r="B487" s="160"/>
      <c r="C487" s="161"/>
      <c r="D487" s="162"/>
      <c r="E487" s="163"/>
      <c r="F487" s="79"/>
      <c r="G487" s="164"/>
      <c r="H487" s="165">
        <f t="shared" si="1"/>
        <v>362243.91</v>
      </c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</row>
    <row r="488">
      <c r="A488" s="159"/>
      <c r="B488" s="160"/>
      <c r="C488" s="161"/>
      <c r="D488" s="162"/>
      <c r="E488" s="163"/>
      <c r="F488" s="79"/>
      <c r="G488" s="164"/>
      <c r="H488" s="165">
        <f t="shared" si="1"/>
        <v>362243.91</v>
      </c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</row>
    <row r="489">
      <c r="A489" s="159"/>
      <c r="B489" s="160"/>
      <c r="C489" s="161"/>
      <c r="D489" s="162"/>
      <c r="E489" s="163"/>
      <c r="F489" s="79"/>
      <c r="G489" s="164"/>
      <c r="H489" s="165">
        <f t="shared" si="1"/>
        <v>362243.91</v>
      </c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</row>
    <row r="490">
      <c r="A490" s="159"/>
      <c r="B490" s="160"/>
      <c r="C490" s="161"/>
      <c r="D490" s="162"/>
      <c r="E490" s="163"/>
      <c r="F490" s="79"/>
      <c r="G490" s="164"/>
      <c r="H490" s="165">
        <f t="shared" si="1"/>
        <v>362243.91</v>
      </c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</row>
    <row r="491">
      <c r="A491" s="159"/>
      <c r="B491" s="160"/>
      <c r="C491" s="161"/>
      <c r="D491" s="162"/>
      <c r="E491" s="163"/>
      <c r="F491" s="79"/>
      <c r="G491" s="164"/>
      <c r="H491" s="165">
        <f t="shared" si="1"/>
        <v>362243.91</v>
      </c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</row>
    <row r="492">
      <c r="A492" s="159"/>
      <c r="B492" s="160"/>
      <c r="C492" s="161"/>
      <c r="D492" s="162"/>
      <c r="E492" s="163"/>
      <c r="F492" s="79"/>
      <c r="G492" s="164"/>
      <c r="H492" s="165">
        <f t="shared" si="1"/>
        <v>362243.91</v>
      </c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</row>
    <row r="493">
      <c r="A493" s="159"/>
      <c r="B493" s="160"/>
      <c r="C493" s="161"/>
      <c r="D493" s="162"/>
      <c r="E493" s="163"/>
      <c r="F493" s="79"/>
      <c r="G493" s="164"/>
      <c r="H493" s="165">
        <f t="shared" si="1"/>
        <v>362243.91</v>
      </c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</row>
    <row r="494">
      <c r="A494" s="159"/>
      <c r="B494" s="160"/>
      <c r="C494" s="161"/>
      <c r="D494" s="162"/>
      <c r="E494" s="163"/>
      <c r="F494" s="79"/>
      <c r="G494" s="164"/>
      <c r="H494" s="165">
        <f t="shared" si="1"/>
        <v>362243.91</v>
      </c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</row>
    <row r="495">
      <c r="A495" s="159"/>
      <c r="B495" s="160"/>
      <c r="C495" s="161"/>
      <c r="D495" s="162"/>
      <c r="E495" s="163"/>
      <c r="F495" s="79"/>
      <c r="G495" s="164"/>
      <c r="H495" s="165">
        <f t="shared" si="1"/>
        <v>362243.91</v>
      </c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</row>
    <row r="496">
      <c r="A496" s="159"/>
      <c r="B496" s="160"/>
      <c r="C496" s="161"/>
      <c r="D496" s="162"/>
      <c r="E496" s="163"/>
      <c r="F496" s="79"/>
      <c r="G496" s="164"/>
      <c r="H496" s="165">
        <f t="shared" si="1"/>
        <v>362243.91</v>
      </c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</row>
    <row r="497">
      <c r="A497" s="159"/>
      <c r="B497" s="160"/>
      <c r="C497" s="161"/>
      <c r="D497" s="162"/>
      <c r="E497" s="163"/>
      <c r="F497" s="79"/>
      <c r="G497" s="164"/>
      <c r="H497" s="165">
        <f t="shared" si="1"/>
        <v>362243.91</v>
      </c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</row>
    <row r="498">
      <c r="A498" s="159"/>
      <c r="B498" s="160"/>
      <c r="C498" s="161"/>
      <c r="D498" s="162"/>
      <c r="E498" s="163"/>
      <c r="F498" s="79"/>
      <c r="G498" s="164"/>
      <c r="H498" s="165">
        <f t="shared" si="1"/>
        <v>362243.91</v>
      </c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</row>
    <row r="499">
      <c r="A499" s="159"/>
      <c r="B499" s="160"/>
      <c r="C499" s="161"/>
      <c r="D499" s="162"/>
      <c r="E499" s="163"/>
      <c r="F499" s="79"/>
      <c r="G499" s="164"/>
      <c r="H499" s="165">
        <f t="shared" si="1"/>
        <v>362243.91</v>
      </c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</row>
    <row r="500">
      <c r="A500" s="159"/>
      <c r="B500" s="160"/>
      <c r="C500" s="161"/>
      <c r="D500" s="162"/>
      <c r="E500" s="163"/>
      <c r="F500" s="79"/>
      <c r="G500" s="164"/>
      <c r="H500" s="165">
        <f t="shared" si="1"/>
        <v>362243.91</v>
      </c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</row>
    <row r="501">
      <c r="A501" s="159"/>
      <c r="B501" s="160"/>
      <c r="C501" s="161"/>
      <c r="D501" s="162"/>
      <c r="E501" s="163"/>
      <c r="F501" s="79"/>
      <c r="G501" s="164"/>
      <c r="H501" s="165">
        <f t="shared" si="1"/>
        <v>362243.91</v>
      </c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</row>
    <row r="502">
      <c r="A502" s="159"/>
      <c r="B502" s="160"/>
      <c r="C502" s="161"/>
      <c r="D502" s="162"/>
      <c r="E502" s="163"/>
      <c r="F502" s="79"/>
      <c r="G502" s="164"/>
      <c r="H502" s="165">
        <f t="shared" si="1"/>
        <v>362243.91</v>
      </c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</row>
    <row r="503">
      <c r="A503" s="159"/>
      <c r="B503" s="160"/>
      <c r="C503" s="161"/>
      <c r="D503" s="162"/>
      <c r="E503" s="163"/>
      <c r="F503" s="79"/>
      <c r="G503" s="164"/>
      <c r="H503" s="165">
        <f t="shared" si="1"/>
        <v>362243.91</v>
      </c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</row>
    <row r="504">
      <c r="A504" s="159"/>
      <c r="B504" s="160"/>
      <c r="C504" s="161"/>
      <c r="D504" s="162"/>
      <c r="E504" s="163"/>
      <c r="F504" s="79"/>
      <c r="G504" s="164"/>
      <c r="H504" s="165">
        <f t="shared" si="1"/>
        <v>362243.91</v>
      </c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</row>
    <row r="505">
      <c r="A505" s="159"/>
      <c r="B505" s="160"/>
      <c r="C505" s="161"/>
      <c r="D505" s="162"/>
      <c r="E505" s="163"/>
      <c r="F505" s="79"/>
      <c r="G505" s="164"/>
      <c r="H505" s="165">
        <f t="shared" si="1"/>
        <v>362243.91</v>
      </c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</row>
    <row r="506">
      <c r="A506" s="159"/>
      <c r="B506" s="160"/>
      <c r="C506" s="161"/>
      <c r="D506" s="162"/>
      <c r="E506" s="163"/>
      <c r="F506" s="79"/>
      <c r="G506" s="164"/>
      <c r="H506" s="165">
        <f t="shared" si="1"/>
        <v>362243.91</v>
      </c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</row>
    <row r="507">
      <c r="A507" s="159"/>
      <c r="B507" s="160"/>
      <c r="C507" s="161"/>
      <c r="D507" s="162"/>
      <c r="E507" s="163"/>
      <c r="F507" s="79"/>
      <c r="G507" s="164"/>
      <c r="H507" s="165">
        <f t="shared" si="1"/>
        <v>362243.91</v>
      </c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</row>
    <row r="508">
      <c r="A508" s="159"/>
      <c r="B508" s="160"/>
      <c r="C508" s="161"/>
      <c r="D508" s="162"/>
      <c r="E508" s="163"/>
      <c r="F508" s="79"/>
      <c r="G508" s="164"/>
      <c r="H508" s="165">
        <f t="shared" si="1"/>
        <v>362243.91</v>
      </c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</row>
    <row r="509">
      <c r="A509" s="159"/>
      <c r="B509" s="160"/>
      <c r="C509" s="161"/>
      <c r="D509" s="162"/>
      <c r="E509" s="163"/>
      <c r="F509" s="79"/>
      <c r="G509" s="164"/>
      <c r="H509" s="165">
        <f t="shared" si="1"/>
        <v>362243.91</v>
      </c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</row>
    <row r="510">
      <c r="A510" s="159"/>
      <c r="B510" s="160"/>
      <c r="C510" s="161"/>
      <c r="D510" s="162"/>
      <c r="E510" s="163"/>
      <c r="F510" s="79"/>
      <c r="G510" s="164"/>
      <c r="H510" s="165">
        <f t="shared" si="1"/>
        <v>362243.91</v>
      </c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</row>
    <row r="511">
      <c r="A511" s="159"/>
      <c r="B511" s="160"/>
      <c r="C511" s="161"/>
      <c r="D511" s="162"/>
      <c r="E511" s="163"/>
      <c r="F511" s="79"/>
      <c r="G511" s="164"/>
      <c r="H511" s="165">
        <f t="shared" si="1"/>
        <v>362243.91</v>
      </c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</row>
    <row r="512">
      <c r="A512" s="159"/>
      <c r="B512" s="160"/>
      <c r="C512" s="161"/>
      <c r="D512" s="162"/>
      <c r="E512" s="163"/>
      <c r="F512" s="79"/>
      <c r="G512" s="164"/>
      <c r="H512" s="165">
        <f t="shared" si="1"/>
        <v>362243.91</v>
      </c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</row>
    <row r="513">
      <c r="A513" s="159"/>
      <c r="B513" s="160"/>
      <c r="C513" s="161"/>
      <c r="D513" s="162"/>
      <c r="E513" s="163"/>
      <c r="F513" s="79"/>
      <c r="G513" s="164"/>
      <c r="H513" s="165">
        <f t="shared" si="1"/>
        <v>362243.91</v>
      </c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</row>
    <row r="514">
      <c r="A514" s="159"/>
      <c r="B514" s="160"/>
      <c r="C514" s="161"/>
      <c r="D514" s="162"/>
      <c r="E514" s="163"/>
      <c r="F514" s="79"/>
      <c r="G514" s="164"/>
      <c r="H514" s="165">
        <f t="shared" si="1"/>
        <v>362243.91</v>
      </c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</row>
    <row r="515">
      <c r="A515" s="159"/>
      <c r="B515" s="160"/>
      <c r="C515" s="161"/>
      <c r="D515" s="162"/>
      <c r="E515" s="163"/>
      <c r="F515" s="79"/>
      <c r="G515" s="164"/>
      <c r="H515" s="165">
        <f t="shared" si="1"/>
        <v>362243.91</v>
      </c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</row>
    <row r="516">
      <c r="A516" s="159"/>
      <c r="B516" s="160"/>
      <c r="C516" s="161"/>
      <c r="D516" s="162"/>
      <c r="E516" s="163"/>
      <c r="F516" s="79"/>
      <c r="G516" s="164"/>
      <c r="H516" s="165">
        <f t="shared" si="1"/>
        <v>362243.91</v>
      </c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</row>
    <row r="517">
      <c r="A517" s="159"/>
      <c r="B517" s="160"/>
      <c r="C517" s="161"/>
      <c r="D517" s="162"/>
      <c r="E517" s="163"/>
      <c r="F517" s="79"/>
      <c r="G517" s="164"/>
      <c r="H517" s="165">
        <f t="shared" si="1"/>
        <v>362243.91</v>
      </c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</row>
    <row r="518">
      <c r="A518" s="159"/>
      <c r="B518" s="160"/>
      <c r="C518" s="161"/>
      <c r="D518" s="162"/>
      <c r="E518" s="163"/>
      <c r="F518" s="79"/>
      <c r="G518" s="164"/>
      <c r="H518" s="165">
        <f t="shared" si="1"/>
        <v>362243.91</v>
      </c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</row>
    <row r="519">
      <c r="A519" s="159"/>
      <c r="B519" s="160"/>
      <c r="C519" s="161"/>
      <c r="D519" s="162"/>
      <c r="E519" s="163"/>
      <c r="F519" s="79"/>
      <c r="G519" s="164"/>
      <c r="H519" s="165">
        <f t="shared" si="1"/>
        <v>362243.91</v>
      </c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</row>
    <row r="520">
      <c r="A520" s="159"/>
      <c r="B520" s="160"/>
      <c r="C520" s="161"/>
      <c r="D520" s="162"/>
      <c r="E520" s="163"/>
      <c r="F520" s="79"/>
      <c r="G520" s="164"/>
      <c r="H520" s="165">
        <f t="shared" si="1"/>
        <v>362243.91</v>
      </c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</row>
    <row r="521">
      <c r="A521" s="159"/>
      <c r="B521" s="160"/>
      <c r="C521" s="161"/>
      <c r="D521" s="162"/>
      <c r="E521" s="163"/>
      <c r="F521" s="79"/>
      <c r="G521" s="164"/>
      <c r="H521" s="165">
        <f t="shared" si="1"/>
        <v>362243.91</v>
      </c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</row>
    <row r="522">
      <c r="A522" s="159"/>
      <c r="B522" s="160"/>
      <c r="C522" s="161"/>
      <c r="D522" s="162"/>
      <c r="E522" s="163"/>
      <c r="F522" s="79"/>
      <c r="G522" s="164"/>
      <c r="H522" s="165">
        <f t="shared" si="1"/>
        <v>362243.91</v>
      </c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</row>
    <row r="523">
      <c r="A523" s="159"/>
      <c r="B523" s="160"/>
      <c r="C523" s="161"/>
      <c r="D523" s="162"/>
      <c r="E523" s="163"/>
      <c r="F523" s="79"/>
      <c r="G523" s="164"/>
      <c r="H523" s="165">
        <f t="shared" si="1"/>
        <v>362243.91</v>
      </c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</row>
    <row r="524">
      <c r="A524" s="159"/>
      <c r="B524" s="160"/>
      <c r="C524" s="161"/>
      <c r="D524" s="162"/>
      <c r="E524" s="163"/>
      <c r="F524" s="79"/>
      <c r="G524" s="164"/>
      <c r="H524" s="165">
        <f t="shared" si="1"/>
        <v>362243.91</v>
      </c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</row>
    <row r="525">
      <c r="A525" s="159"/>
      <c r="B525" s="160"/>
      <c r="C525" s="161"/>
      <c r="D525" s="162"/>
      <c r="E525" s="163"/>
      <c r="F525" s="79"/>
      <c r="G525" s="164"/>
      <c r="H525" s="165">
        <f t="shared" si="1"/>
        <v>362243.91</v>
      </c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</row>
    <row r="526">
      <c r="A526" s="159"/>
      <c r="B526" s="160"/>
      <c r="C526" s="161"/>
      <c r="D526" s="162"/>
      <c r="E526" s="163"/>
      <c r="F526" s="79"/>
      <c r="G526" s="164"/>
      <c r="H526" s="165">
        <f t="shared" si="1"/>
        <v>362243.91</v>
      </c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</row>
    <row r="527">
      <c r="A527" s="159"/>
      <c r="B527" s="160"/>
      <c r="C527" s="161"/>
      <c r="D527" s="162"/>
      <c r="E527" s="163"/>
      <c r="F527" s="79"/>
      <c r="G527" s="164"/>
      <c r="H527" s="165">
        <f t="shared" si="1"/>
        <v>362243.91</v>
      </c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</row>
    <row r="528">
      <c r="A528" s="159"/>
      <c r="B528" s="160"/>
      <c r="C528" s="161"/>
      <c r="D528" s="162"/>
      <c r="E528" s="163"/>
      <c r="F528" s="79"/>
      <c r="G528" s="164"/>
      <c r="H528" s="165">
        <f t="shared" si="1"/>
        <v>362243.91</v>
      </c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</row>
    <row r="529">
      <c r="A529" s="159"/>
      <c r="B529" s="160"/>
      <c r="C529" s="161"/>
      <c r="D529" s="162"/>
      <c r="E529" s="163"/>
      <c r="F529" s="79"/>
      <c r="G529" s="164"/>
      <c r="H529" s="165">
        <f t="shared" si="1"/>
        <v>362243.91</v>
      </c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</row>
    <row r="530">
      <c r="A530" s="159"/>
      <c r="B530" s="160"/>
      <c r="C530" s="161"/>
      <c r="D530" s="162"/>
      <c r="E530" s="163"/>
      <c r="F530" s="79"/>
      <c r="G530" s="164"/>
      <c r="H530" s="165">
        <f t="shared" si="1"/>
        <v>362243.91</v>
      </c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</row>
    <row r="531">
      <c r="A531" s="159"/>
      <c r="B531" s="160"/>
      <c r="C531" s="161"/>
      <c r="D531" s="162"/>
      <c r="E531" s="163"/>
      <c r="F531" s="79"/>
      <c r="G531" s="164"/>
      <c r="H531" s="165">
        <f t="shared" si="1"/>
        <v>362243.91</v>
      </c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</row>
    <row r="532">
      <c r="A532" s="159"/>
      <c r="B532" s="160"/>
      <c r="C532" s="161"/>
      <c r="D532" s="162"/>
      <c r="E532" s="163"/>
      <c r="F532" s="79"/>
      <c r="G532" s="164"/>
      <c r="H532" s="165">
        <f t="shared" si="1"/>
        <v>362243.91</v>
      </c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</row>
    <row r="533">
      <c r="A533" s="159"/>
      <c r="B533" s="160"/>
      <c r="C533" s="161"/>
      <c r="D533" s="162"/>
      <c r="E533" s="163"/>
      <c r="F533" s="79"/>
      <c r="G533" s="164"/>
      <c r="H533" s="165">
        <f t="shared" si="1"/>
        <v>362243.91</v>
      </c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</row>
    <row r="534">
      <c r="A534" s="159"/>
      <c r="B534" s="160"/>
      <c r="C534" s="161"/>
      <c r="D534" s="162"/>
      <c r="E534" s="163"/>
      <c r="F534" s="79"/>
      <c r="G534" s="164"/>
      <c r="H534" s="165">
        <f t="shared" si="1"/>
        <v>362243.91</v>
      </c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</row>
    <row r="535">
      <c r="A535" s="159"/>
      <c r="B535" s="160"/>
      <c r="C535" s="161"/>
      <c r="D535" s="162"/>
      <c r="E535" s="163"/>
      <c r="F535" s="79"/>
      <c r="G535" s="164"/>
      <c r="H535" s="165">
        <f t="shared" si="1"/>
        <v>362243.91</v>
      </c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</row>
    <row r="536">
      <c r="A536" s="159"/>
      <c r="B536" s="160"/>
      <c r="C536" s="161"/>
      <c r="D536" s="162"/>
      <c r="E536" s="163"/>
      <c r="F536" s="79"/>
      <c r="G536" s="164"/>
      <c r="H536" s="165">
        <f t="shared" si="1"/>
        <v>362243.91</v>
      </c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</row>
    <row r="537">
      <c r="A537" s="159"/>
      <c r="B537" s="160"/>
      <c r="C537" s="161"/>
      <c r="D537" s="162"/>
      <c r="E537" s="163"/>
      <c r="F537" s="79"/>
      <c r="G537" s="164"/>
      <c r="H537" s="165">
        <f t="shared" si="1"/>
        <v>362243.91</v>
      </c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</row>
    <row r="538">
      <c r="A538" s="159"/>
      <c r="B538" s="160"/>
      <c r="C538" s="161"/>
      <c r="D538" s="162"/>
      <c r="E538" s="163"/>
      <c r="F538" s="79"/>
      <c r="G538" s="164"/>
      <c r="H538" s="165">
        <f t="shared" si="1"/>
        <v>362243.91</v>
      </c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</row>
    <row r="539">
      <c r="A539" s="159"/>
      <c r="B539" s="160"/>
      <c r="C539" s="161"/>
      <c r="D539" s="162"/>
      <c r="E539" s="163"/>
      <c r="F539" s="79"/>
      <c r="G539" s="164"/>
      <c r="H539" s="165">
        <f t="shared" si="1"/>
        <v>362243.91</v>
      </c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</row>
    <row r="540">
      <c r="A540" s="159"/>
      <c r="B540" s="160"/>
      <c r="C540" s="161"/>
      <c r="D540" s="162"/>
      <c r="E540" s="163"/>
      <c r="F540" s="79"/>
      <c r="G540" s="164"/>
      <c r="H540" s="165">
        <f t="shared" si="1"/>
        <v>362243.91</v>
      </c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</row>
    <row r="541">
      <c r="A541" s="159"/>
      <c r="B541" s="160"/>
      <c r="C541" s="161"/>
      <c r="D541" s="162"/>
      <c r="E541" s="163"/>
      <c r="F541" s="79"/>
      <c r="G541" s="164"/>
      <c r="H541" s="165">
        <f t="shared" si="1"/>
        <v>362243.91</v>
      </c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</row>
    <row r="542">
      <c r="A542" s="159"/>
      <c r="B542" s="160"/>
      <c r="C542" s="161"/>
      <c r="D542" s="162"/>
      <c r="E542" s="163"/>
      <c r="F542" s="79"/>
      <c r="G542" s="164"/>
      <c r="H542" s="165">
        <f t="shared" si="1"/>
        <v>362243.91</v>
      </c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</row>
    <row r="543">
      <c r="A543" s="159"/>
      <c r="B543" s="160"/>
      <c r="C543" s="161"/>
      <c r="D543" s="162"/>
      <c r="E543" s="163"/>
      <c r="F543" s="79"/>
      <c r="G543" s="164"/>
      <c r="H543" s="165">
        <f t="shared" si="1"/>
        <v>362243.91</v>
      </c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</row>
    <row r="544">
      <c r="A544" s="159"/>
      <c r="B544" s="160"/>
      <c r="C544" s="161"/>
      <c r="D544" s="162"/>
      <c r="E544" s="163"/>
      <c r="F544" s="79"/>
      <c r="G544" s="164"/>
      <c r="H544" s="165">
        <f t="shared" si="1"/>
        <v>362243.91</v>
      </c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</row>
    <row r="545">
      <c r="A545" s="159"/>
      <c r="B545" s="160"/>
      <c r="C545" s="161"/>
      <c r="D545" s="162"/>
      <c r="E545" s="163"/>
      <c r="F545" s="79"/>
      <c r="G545" s="164"/>
      <c r="H545" s="165">
        <f t="shared" si="1"/>
        <v>362243.91</v>
      </c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</row>
    <row r="546">
      <c r="A546" s="159"/>
      <c r="B546" s="160"/>
      <c r="C546" s="161"/>
      <c r="D546" s="162"/>
      <c r="E546" s="163"/>
      <c r="F546" s="79"/>
      <c r="G546" s="164"/>
      <c r="H546" s="165">
        <f t="shared" si="1"/>
        <v>362243.91</v>
      </c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</row>
    <row r="547">
      <c r="A547" s="159"/>
      <c r="B547" s="160"/>
      <c r="C547" s="161"/>
      <c r="D547" s="162"/>
      <c r="E547" s="163"/>
      <c r="F547" s="79"/>
      <c r="G547" s="164"/>
      <c r="H547" s="165">
        <f t="shared" si="1"/>
        <v>362243.91</v>
      </c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</row>
    <row r="548">
      <c r="A548" s="159"/>
      <c r="B548" s="160"/>
      <c r="C548" s="161"/>
      <c r="D548" s="162"/>
      <c r="E548" s="163"/>
      <c r="F548" s="79"/>
      <c r="G548" s="164"/>
      <c r="H548" s="165">
        <f t="shared" si="1"/>
        <v>362243.91</v>
      </c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</row>
    <row r="549">
      <c r="A549" s="159"/>
      <c r="B549" s="160"/>
      <c r="C549" s="161"/>
      <c r="D549" s="162"/>
      <c r="E549" s="163"/>
      <c r="F549" s="79"/>
      <c r="G549" s="164"/>
      <c r="H549" s="165">
        <f t="shared" si="1"/>
        <v>362243.91</v>
      </c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</row>
    <row r="550">
      <c r="A550" s="159"/>
      <c r="B550" s="160"/>
      <c r="C550" s="161"/>
      <c r="D550" s="162"/>
      <c r="E550" s="163"/>
      <c r="F550" s="79"/>
      <c r="G550" s="164"/>
      <c r="H550" s="165">
        <f t="shared" si="1"/>
        <v>362243.91</v>
      </c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</row>
    <row r="551">
      <c r="A551" s="159"/>
      <c r="B551" s="160"/>
      <c r="C551" s="161"/>
      <c r="D551" s="162"/>
      <c r="E551" s="163"/>
      <c r="F551" s="79"/>
      <c r="G551" s="164"/>
      <c r="H551" s="165">
        <f t="shared" si="1"/>
        <v>362243.91</v>
      </c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</row>
    <row r="552">
      <c r="A552" s="159"/>
      <c r="B552" s="160"/>
      <c r="C552" s="161"/>
      <c r="D552" s="162"/>
      <c r="E552" s="163"/>
      <c r="F552" s="79"/>
      <c r="G552" s="164"/>
      <c r="H552" s="165">
        <f t="shared" si="1"/>
        <v>362243.91</v>
      </c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</row>
    <row r="553">
      <c r="A553" s="159"/>
      <c r="B553" s="160"/>
      <c r="C553" s="161"/>
      <c r="D553" s="162"/>
      <c r="E553" s="163"/>
      <c r="F553" s="79"/>
      <c r="G553" s="164"/>
      <c r="H553" s="165">
        <f t="shared" si="1"/>
        <v>362243.91</v>
      </c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</row>
    <row r="554">
      <c r="A554" s="159"/>
      <c r="B554" s="160"/>
      <c r="C554" s="161"/>
      <c r="D554" s="162"/>
      <c r="E554" s="163"/>
      <c r="F554" s="79"/>
      <c r="G554" s="164"/>
      <c r="H554" s="165">
        <f t="shared" si="1"/>
        <v>362243.91</v>
      </c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</row>
    <row r="555">
      <c r="A555" s="159"/>
      <c r="B555" s="160"/>
      <c r="C555" s="161"/>
      <c r="D555" s="162"/>
      <c r="E555" s="163"/>
      <c r="F555" s="79"/>
      <c r="G555" s="164"/>
      <c r="H555" s="165">
        <f t="shared" si="1"/>
        <v>362243.91</v>
      </c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</row>
    <row r="556">
      <c r="A556" s="159"/>
      <c r="B556" s="160"/>
      <c r="C556" s="161"/>
      <c r="D556" s="162"/>
      <c r="E556" s="163"/>
      <c r="F556" s="79"/>
      <c r="G556" s="164"/>
      <c r="H556" s="165">
        <f t="shared" si="1"/>
        <v>362243.91</v>
      </c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</row>
    <row r="557">
      <c r="A557" s="159"/>
      <c r="B557" s="160"/>
      <c r="C557" s="161"/>
      <c r="D557" s="162"/>
      <c r="E557" s="163"/>
      <c r="F557" s="79"/>
      <c r="G557" s="164"/>
      <c r="H557" s="165">
        <f t="shared" si="1"/>
        <v>362243.91</v>
      </c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</row>
    <row r="558">
      <c r="A558" s="159"/>
      <c r="B558" s="160"/>
      <c r="C558" s="161"/>
      <c r="D558" s="162"/>
      <c r="E558" s="163"/>
      <c r="F558" s="79"/>
      <c r="G558" s="164"/>
      <c r="H558" s="165">
        <f t="shared" si="1"/>
        <v>362243.91</v>
      </c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</row>
    <row r="559">
      <c r="A559" s="159"/>
      <c r="B559" s="160"/>
      <c r="C559" s="161"/>
      <c r="D559" s="162"/>
      <c r="E559" s="163"/>
      <c r="F559" s="79"/>
      <c r="G559" s="164"/>
      <c r="H559" s="165">
        <f t="shared" si="1"/>
        <v>362243.91</v>
      </c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</row>
    <row r="560">
      <c r="A560" s="159"/>
      <c r="B560" s="160"/>
      <c r="C560" s="161"/>
      <c r="D560" s="162"/>
      <c r="E560" s="163"/>
      <c r="F560" s="79"/>
      <c r="G560" s="164"/>
      <c r="H560" s="165">
        <f t="shared" si="1"/>
        <v>362243.91</v>
      </c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</row>
    <row r="561">
      <c r="A561" s="159"/>
      <c r="B561" s="160"/>
      <c r="C561" s="161"/>
      <c r="D561" s="162"/>
      <c r="E561" s="163"/>
      <c r="F561" s="79"/>
      <c r="G561" s="164"/>
      <c r="H561" s="165">
        <f t="shared" si="1"/>
        <v>362243.91</v>
      </c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</row>
    <row r="562">
      <c r="A562" s="159"/>
      <c r="B562" s="160"/>
      <c r="C562" s="161"/>
      <c r="D562" s="162"/>
      <c r="E562" s="163"/>
      <c r="F562" s="79"/>
      <c r="G562" s="164"/>
      <c r="H562" s="165">
        <f t="shared" si="1"/>
        <v>362243.91</v>
      </c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</row>
    <row r="563">
      <c r="A563" s="159"/>
      <c r="B563" s="160"/>
      <c r="C563" s="161"/>
      <c r="D563" s="162"/>
      <c r="E563" s="163"/>
      <c r="F563" s="79"/>
      <c r="G563" s="164"/>
      <c r="H563" s="165">
        <f t="shared" si="1"/>
        <v>362243.91</v>
      </c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</row>
    <row r="564">
      <c r="A564" s="159"/>
      <c r="B564" s="160"/>
      <c r="C564" s="161"/>
      <c r="D564" s="162"/>
      <c r="E564" s="163"/>
      <c r="F564" s="79"/>
      <c r="G564" s="164"/>
      <c r="H564" s="165">
        <f t="shared" si="1"/>
        <v>362243.91</v>
      </c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</row>
    <row r="565">
      <c r="A565" s="159"/>
      <c r="B565" s="160"/>
      <c r="C565" s="161"/>
      <c r="D565" s="162"/>
      <c r="E565" s="163"/>
      <c r="F565" s="79"/>
      <c r="G565" s="164"/>
      <c r="H565" s="165">
        <f t="shared" si="1"/>
        <v>362243.91</v>
      </c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</row>
    <row r="566">
      <c r="A566" s="159"/>
      <c r="B566" s="160"/>
      <c r="C566" s="161"/>
      <c r="D566" s="162"/>
      <c r="E566" s="163"/>
      <c r="F566" s="79"/>
      <c r="G566" s="164"/>
      <c r="H566" s="165">
        <f t="shared" si="1"/>
        <v>362243.91</v>
      </c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</row>
    <row r="567">
      <c r="A567" s="159"/>
      <c r="B567" s="160"/>
      <c r="C567" s="161"/>
      <c r="D567" s="162"/>
      <c r="E567" s="163"/>
      <c r="F567" s="79"/>
      <c r="G567" s="164"/>
      <c r="H567" s="165">
        <f t="shared" si="1"/>
        <v>362243.91</v>
      </c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</row>
    <row r="568">
      <c r="A568" s="159"/>
      <c r="B568" s="160"/>
      <c r="C568" s="161"/>
      <c r="D568" s="162"/>
      <c r="E568" s="163"/>
      <c r="F568" s="79"/>
      <c r="G568" s="164"/>
      <c r="H568" s="165">
        <f t="shared" si="1"/>
        <v>362243.91</v>
      </c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</row>
    <row r="569">
      <c r="A569" s="159"/>
      <c r="B569" s="160"/>
      <c r="C569" s="161"/>
      <c r="D569" s="162"/>
      <c r="E569" s="163"/>
      <c r="F569" s="79"/>
      <c r="G569" s="164"/>
      <c r="H569" s="165">
        <f t="shared" si="1"/>
        <v>362243.91</v>
      </c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</row>
    <row r="570">
      <c r="A570" s="159"/>
      <c r="B570" s="160"/>
      <c r="C570" s="161"/>
      <c r="D570" s="162"/>
      <c r="E570" s="163"/>
      <c r="F570" s="79"/>
      <c r="G570" s="164"/>
      <c r="H570" s="165">
        <f t="shared" si="1"/>
        <v>362243.91</v>
      </c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</row>
    <row r="571">
      <c r="A571" s="159"/>
      <c r="B571" s="160"/>
      <c r="C571" s="161"/>
      <c r="D571" s="162"/>
      <c r="E571" s="163"/>
      <c r="F571" s="79"/>
      <c r="G571" s="164"/>
      <c r="H571" s="165">
        <f t="shared" si="1"/>
        <v>362243.91</v>
      </c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</row>
    <row r="572">
      <c r="A572" s="159"/>
      <c r="B572" s="160"/>
      <c r="C572" s="161"/>
      <c r="D572" s="162"/>
      <c r="E572" s="163"/>
      <c r="F572" s="79"/>
      <c r="G572" s="164"/>
      <c r="H572" s="165">
        <f t="shared" si="1"/>
        <v>362243.91</v>
      </c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</row>
    <row r="573">
      <c r="A573" s="159"/>
      <c r="B573" s="160"/>
      <c r="C573" s="161"/>
      <c r="D573" s="162"/>
      <c r="E573" s="163"/>
      <c r="F573" s="79"/>
      <c r="G573" s="164"/>
      <c r="H573" s="165">
        <f t="shared" si="1"/>
        <v>362243.91</v>
      </c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</row>
    <row r="574">
      <c r="A574" s="159"/>
      <c r="B574" s="160"/>
      <c r="C574" s="161"/>
      <c r="D574" s="162"/>
      <c r="E574" s="163"/>
      <c r="F574" s="79"/>
      <c r="G574" s="164"/>
      <c r="H574" s="165">
        <f t="shared" si="1"/>
        <v>362243.91</v>
      </c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</row>
    <row r="575">
      <c r="A575" s="159"/>
      <c r="B575" s="160"/>
      <c r="C575" s="161"/>
      <c r="D575" s="162"/>
      <c r="E575" s="163"/>
      <c r="F575" s="79"/>
      <c r="G575" s="164"/>
      <c r="H575" s="165">
        <f t="shared" si="1"/>
        <v>362243.91</v>
      </c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</row>
    <row r="576">
      <c r="A576" s="159"/>
      <c r="B576" s="160"/>
      <c r="C576" s="161"/>
      <c r="D576" s="162"/>
      <c r="E576" s="163"/>
      <c r="F576" s="79"/>
      <c r="G576" s="164"/>
      <c r="H576" s="165">
        <f t="shared" si="1"/>
        <v>362243.91</v>
      </c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</row>
    <row r="577">
      <c r="A577" s="159"/>
      <c r="B577" s="160"/>
      <c r="C577" s="161"/>
      <c r="D577" s="162"/>
      <c r="E577" s="163"/>
      <c r="F577" s="79"/>
      <c r="G577" s="164"/>
      <c r="H577" s="165">
        <f t="shared" si="1"/>
        <v>362243.91</v>
      </c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</row>
    <row r="578">
      <c r="A578" s="159"/>
      <c r="B578" s="160"/>
      <c r="C578" s="161"/>
      <c r="D578" s="162"/>
      <c r="E578" s="163"/>
      <c r="F578" s="79"/>
      <c r="G578" s="164"/>
      <c r="H578" s="165">
        <f t="shared" si="1"/>
        <v>362243.91</v>
      </c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</row>
    <row r="579">
      <c r="A579" s="159"/>
      <c r="B579" s="160"/>
      <c r="C579" s="161"/>
      <c r="D579" s="162"/>
      <c r="E579" s="163"/>
      <c r="F579" s="79"/>
      <c r="G579" s="164"/>
      <c r="H579" s="165">
        <f t="shared" si="1"/>
        <v>362243.91</v>
      </c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</row>
    <row r="580">
      <c r="A580" s="159"/>
      <c r="B580" s="160"/>
      <c r="C580" s="161"/>
      <c r="D580" s="162"/>
      <c r="E580" s="163"/>
      <c r="F580" s="79"/>
      <c r="G580" s="164"/>
      <c r="H580" s="165">
        <f t="shared" si="1"/>
        <v>362243.91</v>
      </c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</row>
    <row r="581">
      <c r="A581" s="159"/>
      <c r="B581" s="160"/>
      <c r="C581" s="161"/>
      <c r="D581" s="162"/>
      <c r="E581" s="163"/>
      <c r="F581" s="79"/>
      <c r="G581" s="164"/>
      <c r="H581" s="165">
        <f t="shared" si="1"/>
        <v>362243.91</v>
      </c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</row>
    <row r="582">
      <c r="A582" s="159"/>
      <c r="B582" s="160"/>
      <c r="C582" s="161"/>
      <c r="D582" s="162"/>
      <c r="E582" s="163"/>
      <c r="F582" s="79"/>
      <c r="G582" s="164"/>
      <c r="H582" s="165">
        <f t="shared" si="1"/>
        <v>362243.91</v>
      </c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</row>
    <row r="583">
      <c r="A583" s="159"/>
      <c r="B583" s="160"/>
      <c r="C583" s="161"/>
      <c r="D583" s="162"/>
      <c r="E583" s="163"/>
      <c r="F583" s="79"/>
      <c r="G583" s="164"/>
      <c r="H583" s="165">
        <f t="shared" si="1"/>
        <v>362243.91</v>
      </c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</row>
    <row r="584">
      <c r="A584" s="159"/>
      <c r="B584" s="160"/>
      <c r="C584" s="161"/>
      <c r="D584" s="162"/>
      <c r="E584" s="163"/>
      <c r="F584" s="79"/>
      <c r="G584" s="164"/>
      <c r="H584" s="165">
        <f t="shared" si="1"/>
        <v>362243.91</v>
      </c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</row>
    <row r="585">
      <c r="A585" s="159"/>
      <c r="B585" s="160"/>
      <c r="C585" s="161"/>
      <c r="D585" s="162"/>
      <c r="E585" s="163"/>
      <c r="F585" s="79"/>
      <c r="G585" s="164"/>
      <c r="H585" s="165">
        <f t="shared" si="1"/>
        <v>362243.91</v>
      </c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</row>
    <row r="586">
      <c r="A586" s="159"/>
      <c r="B586" s="160"/>
      <c r="C586" s="161"/>
      <c r="D586" s="162"/>
      <c r="E586" s="163"/>
      <c r="F586" s="79"/>
      <c r="G586" s="164"/>
      <c r="H586" s="165">
        <f t="shared" si="1"/>
        <v>362243.91</v>
      </c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</row>
    <row r="587">
      <c r="A587" s="159"/>
      <c r="B587" s="160"/>
      <c r="C587" s="161"/>
      <c r="D587" s="162"/>
      <c r="E587" s="163"/>
      <c r="F587" s="79"/>
      <c r="G587" s="164"/>
      <c r="H587" s="165">
        <f t="shared" si="1"/>
        <v>362243.91</v>
      </c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</row>
    <row r="588">
      <c r="A588" s="159"/>
      <c r="B588" s="160"/>
      <c r="C588" s="161"/>
      <c r="D588" s="162"/>
      <c r="E588" s="163"/>
      <c r="F588" s="79"/>
      <c r="G588" s="164"/>
      <c r="H588" s="165">
        <f t="shared" si="1"/>
        <v>362243.91</v>
      </c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</row>
    <row r="589">
      <c r="A589" s="159"/>
      <c r="B589" s="160"/>
      <c r="C589" s="161"/>
      <c r="D589" s="162"/>
      <c r="E589" s="163"/>
      <c r="F589" s="79"/>
      <c r="G589" s="164"/>
      <c r="H589" s="165">
        <f t="shared" si="1"/>
        <v>362243.91</v>
      </c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</row>
    <row r="590">
      <c r="A590" s="159"/>
      <c r="B590" s="160"/>
      <c r="C590" s="161"/>
      <c r="D590" s="162"/>
      <c r="E590" s="163"/>
      <c r="F590" s="79"/>
      <c r="G590" s="164"/>
      <c r="H590" s="165">
        <f t="shared" si="1"/>
        <v>362243.91</v>
      </c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</row>
    <row r="591">
      <c r="A591" s="159"/>
      <c r="B591" s="160"/>
      <c r="C591" s="161"/>
      <c r="D591" s="162"/>
      <c r="E591" s="163"/>
      <c r="F591" s="79"/>
      <c r="G591" s="164"/>
      <c r="H591" s="165">
        <f t="shared" si="1"/>
        <v>362243.91</v>
      </c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</row>
    <row r="592">
      <c r="A592" s="159"/>
      <c r="B592" s="160"/>
      <c r="C592" s="161"/>
      <c r="D592" s="162"/>
      <c r="E592" s="163"/>
      <c r="F592" s="79"/>
      <c r="G592" s="164"/>
      <c r="H592" s="165">
        <f t="shared" si="1"/>
        <v>362243.91</v>
      </c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</row>
    <row r="593">
      <c r="A593" s="159"/>
      <c r="B593" s="160"/>
      <c r="C593" s="161"/>
      <c r="D593" s="162"/>
      <c r="E593" s="163"/>
      <c r="F593" s="79"/>
      <c r="G593" s="164"/>
      <c r="H593" s="165">
        <f t="shared" si="1"/>
        <v>362243.91</v>
      </c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</row>
    <row r="594">
      <c r="A594" s="159"/>
      <c r="B594" s="160"/>
      <c r="C594" s="161"/>
      <c r="D594" s="162"/>
      <c r="E594" s="163"/>
      <c r="F594" s="79"/>
      <c r="G594" s="164"/>
      <c r="H594" s="165">
        <f t="shared" si="1"/>
        <v>362243.91</v>
      </c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</row>
    <row r="595">
      <c r="A595" s="159"/>
      <c r="B595" s="160"/>
      <c r="C595" s="161"/>
      <c r="D595" s="162"/>
      <c r="E595" s="163"/>
      <c r="F595" s="79"/>
      <c r="G595" s="164"/>
      <c r="H595" s="165">
        <f t="shared" si="1"/>
        <v>362243.91</v>
      </c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</row>
    <row r="596">
      <c r="A596" s="159"/>
      <c r="B596" s="160"/>
      <c r="C596" s="161"/>
      <c r="D596" s="162"/>
      <c r="E596" s="163"/>
      <c r="F596" s="79"/>
      <c r="G596" s="164"/>
      <c r="H596" s="165">
        <f t="shared" si="1"/>
        <v>362243.91</v>
      </c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</row>
    <row r="597">
      <c r="A597" s="159"/>
      <c r="B597" s="160"/>
      <c r="C597" s="161"/>
      <c r="D597" s="162"/>
      <c r="E597" s="163"/>
      <c r="F597" s="79"/>
      <c r="G597" s="164"/>
      <c r="H597" s="165">
        <f t="shared" si="1"/>
        <v>362243.91</v>
      </c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</row>
    <row r="598">
      <c r="A598" s="159"/>
      <c r="B598" s="160"/>
      <c r="C598" s="161"/>
      <c r="D598" s="162"/>
      <c r="E598" s="163"/>
      <c r="F598" s="79"/>
      <c r="G598" s="164"/>
      <c r="H598" s="165">
        <f t="shared" si="1"/>
        <v>362243.91</v>
      </c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</row>
    <row r="599">
      <c r="A599" s="159"/>
      <c r="B599" s="160"/>
      <c r="C599" s="161"/>
      <c r="D599" s="162"/>
      <c r="E599" s="163"/>
      <c r="F599" s="79"/>
      <c r="G599" s="164"/>
      <c r="H599" s="165">
        <f t="shared" si="1"/>
        <v>362243.91</v>
      </c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</row>
    <row r="600">
      <c r="A600" s="159"/>
      <c r="B600" s="160"/>
      <c r="C600" s="161"/>
      <c r="D600" s="162"/>
      <c r="E600" s="163"/>
      <c r="F600" s="79"/>
      <c r="G600" s="164"/>
      <c r="H600" s="165">
        <f t="shared" si="1"/>
        <v>362243.91</v>
      </c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</row>
    <row r="601">
      <c r="A601" s="159"/>
      <c r="B601" s="160"/>
      <c r="C601" s="161"/>
      <c r="D601" s="162"/>
      <c r="E601" s="163"/>
      <c r="F601" s="79"/>
      <c r="G601" s="164"/>
      <c r="H601" s="165">
        <f t="shared" si="1"/>
        <v>362243.91</v>
      </c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</row>
    <row r="602">
      <c r="A602" s="159"/>
      <c r="B602" s="160"/>
      <c r="C602" s="161"/>
      <c r="D602" s="162"/>
      <c r="E602" s="163"/>
      <c r="F602" s="79"/>
      <c r="G602" s="164"/>
      <c r="H602" s="165">
        <f t="shared" si="1"/>
        <v>362243.91</v>
      </c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</row>
    <row r="603">
      <c r="A603" s="159"/>
      <c r="B603" s="160"/>
      <c r="C603" s="161"/>
      <c r="D603" s="162"/>
      <c r="E603" s="163"/>
      <c r="F603" s="79"/>
      <c r="G603" s="164"/>
      <c r="H603" s="165">
        <f t="shared" si="1"/>
        <v>362243.91</v>
      </c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</row>
    <row r="604">
      <c r="A604" s="159"/>
      <c r="B604" s="160"/>
      <c r="C604" s="161"/>
      <c r="D604" s="162"/>
      <c r="E604" s="163"/>
      <c r="F604" s="79"/>
      <c r="G604" s="164"/>
      <c r="H604" s="165">
        <f t="shared" si="1"/>
        <v>362243.91</v>
      </c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</row>
    <row r="605">
      <c r="A605" s="159"/>
      <c r="B605" s="160"/>
      <c r="C605" s="161"/>
      <c r="D605" s="162"/>
      <c r="E605" s="163"/>
      <c r="F605" s="79"/>
      <c r="G605" s="164"/>
      <c r="H605" s="165">
        <f t="shared" si="1"/>
        <v>362243.91</v>
      </c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</row>
    <row r="606">
      <c r="A606" s="159"/>
      <c r="B606" s="160"/>
      <c r="C606" s="161"/>
      <c r="D606" s="162"/>
      <c r="E606" s="163"/>
      <c r="F606" s="79"/>
      <c r="G606" s="164"/>
      <c r="H606" s="165">
        <f t="shared" si="1"/>
        <v>362243.91</v>
      </c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</row>
    <row r="607">
      <c r="A607" s="159"/>
      <c r="B607" s="160"/>
      <c r="C607" s="161"/>
      <c r="D607" s="162"/>
      <c r="E607" s="163"/>
      <c r="F607" s="79"/>
      <c r="G607" s="164"/>
      <c r="H607" s="165">
        <f t="shared" si="1"/>
        <v>362243.91</v>
      </c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</row>
    <row r="608">
      <c r="A608" s="159"/>
      <c r="B608" s="160"/>
      <c r="C608" s="161"/>
      <c r="D608" s="162"/>
      <c r="E608" s="163"/>
      <c r="F608" s="79"/>
      <c r="G608" s="164"/>
      <c r="H608" s="165">
        <f t="shared" si="1"/>
        <v>362243.91</v>
      </c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</row>
    <row r="609">
      <c r="A609" s="159"/>
      <c r="B609" s="160"/>
      <c r="C609" s="161"/>
      <c r="D609" s="162"/>
      <c r="E609" s="163"/>
      <c r="F609" s="79"/>
      <c r="G609" s="164"/>
      <c r="H609" s="165">
        <f t="shared" si="1"/>
        <v>362243.91</v>
      </c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</row>
    <row r="610">
      <c r="A610" s="159"/>
      <c r="B610" s="160"/>
      <c r="C610" s="161"/>
      <c r="D610" s="162"/>
      <c r="E610" s="163"/>
      <c r="F610" s="79"/>
      <c r="G610" s="164"/>
      <c r="H610" s="165">
        <f t="shared" si="1"/>
        <v>362243.91</v>
      </c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</row>
    <row r="611">
      <c r="A611" s="159"/>
      <c r="B611" s="160"/>
      <c r="C611" s="161"/>
      <c r="D611" s="162"/>
      <c r="E611" s="163"/>
      <c r="F611" s="79"/>
      <c r="G611" s="164"/>
      <c r="H611" s="165">
        <f t="shared" si="1"/>
        <v>362243.91</v>
      </c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</row>
    <row r="612">
      <c r="A612" s="159"/>
      <c r="B612" s="160"/>
      <c r="C612" s="161"/>
      <c r="D612" s="162"/>
      <c r="E612" s="163"/>
      <c r="F612" s="79"/>
      <c r="G612" s="164"/>
      <c r="H612" s="165">
        <f t="shared" si="1"/>
        <v>362243.91</v>
      </c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</row>
    <row r="613">
      <c r="A613" s="159"/>
      <c r="B613" s="160"/>
      <c r="C613" s="161"/>
      <c r="D613" s="162"/>
      <c r="E613" s="163"/>
      <c r="F613" s="79"/>
      <c r="G613" s="164"/>
      <c r="H613" s="165">
        <f t="shared" si="1"/>
        <v>362243.91</v>
      </c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</row>
    <row r="614">
      <c r="A614" s="159"/>
      <c r="B614" s="160"/>
      <c r="C614" s="161"/>
      <c r="D614" s="162"/>
      <c r="E614" s="163"/>
      <c r="F614" s="79"/>
      <c r="G614" s="164"/>
      <c r="H614" s="165">
        <f t="shared" si="1"/>
        <v>362243.91</v>
      </c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</row>
    <row r="615">
      <c r="A615" s="159"/>
      <c r="B615" s="160"/>
      <c r="C615" s="161"/>
      <c r="D615" s="162"/>
      <c r="E615" s="163"/>
      <c r="F615" s="79"/>
      <c r="G615" s="164"/>
      <c r="H615" s="165">
        <f t="shared" si="1"/>
        <v>362243.91</v>
      </c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</row>
    <row r="616">
      <c r="A616" s="159"/>
      <c r="B616" s="160"/>
      <c r="C616" s="161"/>
      <c r="D616" s="162"/>
      <c r="E616" s="163"/>
      <c r="F616" s="79"/>
      <c r="G616" s="164"/>
      <c r="H616" s="165">
        <f t="shared" si="1"/>
        <v>362243.91</v>
      </c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</row>
    <row r="617">
      <c r="A617" s="159"/>
      <c r="B617" s="160"/>
      <c r="C617" s="161"/>
      <c r="D617" s="162"/>
      <c r="E617" s="163"/>
      <c r="F617" s="79"/>
      <c r="G617" s="164"/>
      <c r="H617" s="165">
        <f t="shared" si="1"/>
        <v>362243.91</v>
      </c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</row>
    <row r="618">
      <c r="A618" s="159"/>
      <c r="B618" s="160"/>
      <c r="C618" s="161"/>
      <c r="D618" s="162"/>
      <c r="E618" s="163"/>
      <c r="F618" s="79"/>
      <c r="G618" s="164"/>
      <c r="H618" s="165">
        <f t="shared" si="1"/>
        <v>362243.91</v>
      </c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</row>
    <row r="619">
      <c r="A619" s="159"/>
      <c r="B619" s="160"/>
      <c r="C619" s="161"/>
      <c r="D619" s="162"/>
      <c r="E619" s="163"/>
      <c r="F619" s="79"/>
      <c r="G619" s="164"/>
      <c r="H619" s="165">
        <f t="shared" si="1"/>
        <v>362243.91</v>
      </c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</row>
    <row r="620">
      <c r="A620" s="159"/>
      <c r="B620" s="160"/>
      <c r="C620" s="161"/>
      <c r="D620" s="162"/>
      <c r="E620" s="163"/>
      <c r="F620" s="79"/>
      <c r="G620" s="164"/>
      <c r="H620" s="165">
        <f t="shared" si="1"/>
        <v>362243.91</v>
      </c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</row>
    <row r="621">
      <c r="A621" s="159"/>
      <c r="B621" s="160"/>
      <c r="C621" s="161"/>
      <c r="D621" s="162"/>
      <c r="E621" s="163"/>
      <c r="F621" s="79"/>
      <c r="G621" s="164"/>
      <c r="H621" s="165">
        <f t="shared" si="1"/>
        <v>362243.91</v>
      </c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</row>
    <row r="622">
      <c r="A622" s="159"/>
      <c r="B622" s="160"/>
      <c r="C622" s="161"/>
      <c r="D622" s="162"/>
      <c r="E622" s="163"/>
      <c r="F622" s="79"/>
      <c r="G622" s="164"/>
      <c r="H622" s="165">
        <f t="shared" si="1"/>
        <v>362243.91</v>
      </c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</row>
    <row r="623">
      <c r="A623" s="159"/>
      <c r="B623" s="160"/>
      <c r="C623" s="161"/>
      <c r="D623" s="162"/>
      <c r="E623" s="163"/>
      <c r="F623" s="79"/>
      <c r="G623" s="164"/>
      <c r="H623" s="165">
        <f t="shared" si="1"/>
        <v>362243.91</v>
      </c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</row>
    <row r="624">
      <c r="A624" s="159"/>
      <c r="B624" s="160"/>
      <c r="C624" s="161"/>
      <c r="D624" s="162"/>
      <c r="E624" s="163"/>
      <c r="F624" s="79"/>
      <c r="G624" s="164"/>
      <c r="H624" s="165">
        <f t="shared" si="1"/>
        <v>362243.91</v>
      </c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</row>
    <row r="625">
      <c r="A625" s="159"/>
      <c r="B625" s="160"/>
      <c r="C625" s="161"/>
      <c r="D625" s="162"/>
      <c r="E625" s="163"/>
      <c r="F625" s="79"/>
      <c r="G625" s="164"/>
      <c r="H625" s="165">
        <f t="shared" si="1"/>
        <v>362243.91</v>
      </c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</row>
    <row r="626">
      <c r="A626" s="159"/>
      <c r="B626" s="160"/>
      <c r="C626" s="161"/>
      <c r="D626" s="162"/>
      <c r="E626" s="163"/>
      <c r="F626" s="79"/>
      <c r="G626" s="164"/>
      <c r="H626" s="165">
        <f t="shared" si="1"/>
        <v>362243.91</v>
      </c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</row>
    <row r="627">
      <c r="A627" s="159"/>
      <c r="B627" s="160"/>
      <c r="C627" s="161"/>
      <c r="D627" s="162"/>
      <c r="E627" s="163"/>
      <c r="F627" s="79"/>
      <c r="G627" s="164"/>
      <c r="H627" s="165">
        <f t="shared" si="1"/>
        <v>362243.91</v>
      </c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</row>
    <row r="628">
      <c r="A628" s="159"/>
      <c r="B628" s="160"/>
      <c r="C628" s="161"/>
      <c r="D628" s="162"/>
      <c r="E628" s="163"/>
      <c r="F628" s="79"/>
      <c r="G628" s="164"/>
      <c r="H628" s="165">
        <f t="shared" si="1"/>
        <v>362243.91</v>
      </c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</row>
    <row r="629">
      <c r="A629" s="159"/>
      <c r="B629" s="160"/>
      <c r="C629" s="161"/>
      <c r="D629" s="162"/>
      <c r="E629" s="163"/>
      <c r="F629" s="79"/>
      <c r="G629" s="164"/>
      <c r="H629" s="165">
        <f t="shared" si="1"/>
        <v>362243.91</v>
      </c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</row>
    <row r="630">
      <c r="A630" s="159"/>
      <c r="B630" s="160"/>
      <c r="C630" s="161"/>
      <c r="D630" s="162"/>
      <c r="E630" s="163"/>
      <c r="F630" s="79"/>
      <c r="G630" s="164"/>
      <c r="H630" s="165">
        <f t="shared" si="1"/>
        <v>362243.91</v>
      </c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</row>
    <row r="631">
      <c r="A631" s="159"/>
      <c r="B631" s="160"/>
      <c r="C631" s="161"/>
      <c r="D631" s="162"/>
      <c r="E631" s="163"/>
      <c r="F631" s="79"/>
      <c r="G631" s="164"/>
      <c r="H631" s="165">
        <f t="shared" si="1"/>
        <v>362243.91</v>
      </c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</row>
    <row r="632">
      <c r="A632" s="159"/>
      <c r="B632" s="160"/>
      <c r="C632" s="161"/>
      <c r="D632" s="162"/>
      <c r="E632" s="163"/>
      <c r="F632" s="79"/>
      <c r="G632" s="164"/>
      <c r="H632" s="165">
        <f t="shared" si="1"/>
        <v>362243.91</v>
      </c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</row>
    <row r="633">
      <c r="A633" s="159"/>
      <c r="B633" s="160"/>
      <c r="C633" s="161"/>
      <c r="D633" s="162"/>
      <c r="E633" s="163"/>
      <c r="F633" s="79"/>
      <c r="G633" s="164"/>
      <c r="H633" s="165">
        <f t="shared" si="1"/>
        <v>362243.91</v>
      </c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</row>
    <row r="634">
      <c r="A634" s="159"/>
      <c r="B634" s="160"/>
      <c r="C634" s="161"/>
      <c r="D634" s="162"/>
      <c r="E634" s="163"/>
      <c r="F634" s="79"/>
      <c r="G634" s="164"/>
      <c r="H634" s="165">
        <f t="shared" si="1"/>
        <v>362243.91</v>
      </c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</row>
    <row r="635">
      <c r="A635" s="159"/>
      <c r="B635" s="160"/>
      <c r="C635" s="161"/>
      <c r="D635" s="162"/>
      <c r="E635" s="163"/>
      <c r="F635" s="79"/>
      <c r="G635" s="164"/>
      <c r="H635" s="165">
        <f t="shared" si="1"/>
        <v>362243.91</v>
      </c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</row>
    <row r="636">
      <c r="A636" s="159"/>
      <c r="B636" s="160"/>
      <c r="C636" s="161"/>
      <c r="D636" s="162"/>
      <c r="E636" s="163"/>
      <c r="F636" s="79"/>
      <c r="G636" s="164"/>
      <c r="H636" s="165">
        <f t="shared" si="1"/>
        <v>362243.91</v>
      </c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</row>
    <row r="637">
      <c r="A637" s="159"/>
      <c r="B637" s="160"/>
      <c r="C637" s="161"/>
      <c r="D637" s="162"/>
      <c r="E637" s="163"/>
      <c r="F637" s="79"/>
      <c r="G637" s="164"/>
      <c r="H637" s="165">
        <f t="shared" si="1"/>
        <v>362243.91</v>
      </c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</row>
    <row r="638">
      <c r="A638" s="159"/>
      <c r="B638" s="160"/>
      <c r="C638" s="161"/>
      <c r="D638" s="162"/>
      <c r="E638" s="163"/>
      <c r="F638" s="79"/>
      <c r="G638" s="164"/>
      <c r="H638" s="165">
        <f t="shared" si="1"/>
        <v>362243.91</v>
      </c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</row>
    <row r="639">
      <c r="A639" s="159"/>
      <c r="B639" s="160"/>
      <c r="C639" s="161"/>
      <c r="D639" s="162"/>
      <c r="E639" s="163"/>
      <c r="F639" s="79"/>
      <c r="G639" s="164"/>
      <c r="H639" s="165">
        <f t="shared" si="1"/>
        <v>362243.91</v>
      </c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</row>
    <row r="640">
      <c r="A640" s="159"/>
      <c r="B640" s="160"/>
      <c r="C640" s="161"/>
      <c r="D640" s="162"/>
      <c r="E640" s="163"/>
      <c r="F640" s="79"/>
      <c r="G640" s="164"/>
      <c r="H640" s="165">
        <f t="shared" si="1"/>
        <v>362243.91</v>
      </c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</row>
    <row r="641">
      <c r="A641" s="159"/>
      <c r="B641" s="160"/>
      <c r="C641" s="161"/>
      <c r="D641" s="162"/>
      <c r="E641" s="163"/>
      <c r="F641" s="79"/>
      <c r="G641" s="164"/>
      <c r="H641" s="165">
        <f t="shared" si="1"/>
        <v>362243.91</v>
      </c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</row>
    <row r="642">
      <c r="A642" s="159"/>
      <c r="B642" s="160"/>
      <c r="C642" s="161"/>
      <c r="D642" s="162"/>
      <c r="E642" s="163"/>
      <c r="F642" s="79"/>
      <c r="G642" s="164"/>
      <c r="H642" s="165">
        <f t="shared" si="1"/>
        <v>362243.91</v>
      </c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</row>
    <row r="643">
      <c r="A643" s="159"/>
      <c r="B643" s="160"/>
      <c r="C643" s="161"/>
      <c r="D643" s="162"/>
      <c r="E643" s="163"/>
      <c r="F643" s="79"/>
      <c r="G643" s="164"/>
      <c r="H643" s="165">
        <f t="shared" si="1"/>
        <v>362243.91</v>
      </c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</row>
    <row r="644">
      <c r="A644" s="159"/>
      <c r="B644" s="160"/>
      <c r="C644" s="161"/>
      <c r="D644" s="162"/>
      <c r="E644" s="163"/>
      <c r="F644" s="79"/>
      <c r="G644" s="164"/>
      <c r="H644" s="165">
        <f t="shared" si="1"/>
        <v>362243.91</v>
      </c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</row>
    <row r="645">
      <c r="A645" s="159"/>
      <c r="B645" s="160"/>
      <c r="C645" s="161"/>
      <c r="D645" s="162"/>
      <c r="E645" s="163"/>
      <c r="F645" s="79"/>
      <c r="G645" s="164"/>
      <c r="H645" s="165">
        <f t="shared" si="1"/>
        <v>362243.91</v>
      </c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</row>
    <row r="646">
      <c r="A646" s="159"/>
      <c r="B646" s="160"/>
      <c r="C646" s="161"/>
      <c r="D646" s="162"/>
      <c r="E646" s="163"/>
      <c r="F646" s="79"/>
      <c r="G646" s="164"/>
      <c r="H646" s="165">
        <f t="shared" si="1"/>
        <v>362243.91</v>
      </c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</row>
    <row r="647">
      <c r="A647" s="159"/>
      <c r="B647" s="160"/>
      <c r="C647" s="161"/>
      <c r="D647" s="162"/>
      <c r="E647" s="163"/>
      <c r="F647" s="79"/>
      <c r="G647" s="164"/>
      <c r="H647" s="165">
        <f t="shared" si="1"/>
        <v>362243.91</v>
      </c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</row>
    <row r="648">
      <c r="A648" s="159"/>
      <c r="B648" s="160"/>
      <c r="C648" s="161"/>
      <c r="D648" s="162"/>
      <c r="E648" s="163"/>
      <c r="F648" s="79"/>
      <c r="G648" s="164"/>
      <c r="H648" s="165">
        <f t="shared" si="1"/>
        <v>362243.91</v>
      </c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</row>
    <row r="649">
      <c r="A649" s="159"/>
      <c r="B649" s="160"/>
      <c r="C649" s="161"/>
      <c r="D649" s="162"/>
      <c r="E649" s="163"/>
      <c r="F649" s="79"/>
      <c r="G649" s="164"/>
      <c r="H649" s="165">
        <f t="shared" si="1"/>
        <v>362243.91</v>
      </c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</row>
    <row r="650">
      <c r="A650" s="159"/>
      <c r="B650" s="160"/>
      <c r="C650" s="161"/>
      <c r="D650" s="162"/>
      <c r="E650" s="163"/>
      <c r="F650" s="79"/>
      <c r="G650" s="164"/>
      <c r="H650" s="165">
        <f t="shared" si="1"/>
        <v>362243.91</v>
      </c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</row>
    <row r="651">
      <c r="A651" s="159"/>
      <c r="B651" s="160"/>
      <c r="C651" s="161"/>
      <c r="D651" s="162"/>
      <c r="E651" s="163"/>
      <c r="F651" s="79"/>
      <c r="G651" s="164"/>
      <c r="H651" s="165">
        <f t="shared" si="1"/>
        <v>362243.91</v>
      </c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</row>
    <row r="652">
      <c r="A652" s="159"/>
      <c r="B652" s="160"/>
      <c r="C652" s="161"/>
      <c r="D652" s="162"/>
      <c r="E652" s="163"/>
      <c r="F652" s="79"/>
      <c r="G652" s="164"/>
      <c r="H652" s="165">
        <f t="shared" si="1"/>
        <v>362243.91</v>
      </c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</row>
    <row r="653">
      <c r="A653" s="159"/>
      <c r="B653" s="160"/>
      <c r="C653" s="161"/>
      <c r="D653" s="162"/>
      <c r="E653" s="163"/>
      <c r="F653" s="79"/>
      <c r="G653" s="164"/>
      <c r="H653" s="165">
        <f t="shared" si="1"/>
        <v>362243.91</v>
      </c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</row>
    <row r="654">
      <c r="A654" s="159"/>
      <c r="B654" s="160"/>
      <c r="C654" s="161"/>
      <c r="D654" s="162"/>
      <c r="E654" s="163"/>
      <c r="F654" s="79"/>
      <c r="G654" s="164"/>
      <c r="H654" s="165">
        <f t="shared" si="1"/>
        <v>362243.91</v>
      </c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</row>
    <row r="655">
      <c r="A655" s="159"/>
      <c r="B655" s="160"/>
      <c r="C655" s="161"/>
      <c r="D655" s="162"/>
      <c r="E655" s="163"/>
      <c r="F655" s="79"/>
      <c r="G655" s="164"/>
      <c r="H655" s="165">
        <f t="shared" si="1"/>
        <v>362243.91</v>
      </c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</row>
    <row r="656">
      <c r="A656" s="159"/>
      <c r="B656" s="160"/>
      <c r="C656" s="161"/>
      <c r="D656" s="162"/>
      <c r="E656" s="163"/>
      <c r="F656" s="79"/>
      <c r="G656" s="164"/>
      <c r="H656" s="165">
        <f t="shared" si="1"/>
        <v>362243.91</v>
      </c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</row>
    <row r="657">
      <c r="A657" s="159"/>
      <c r="B657" s="160"/>
      <c r="C657" s="161"/>
      <c r="D657" s="162"/>
      <c r="E657" s="163"/>
      <c r="F657" s="79"/>
      <c r="G657" s="164"/>
      <c r="H657" s="165">
        <f t="shared" si="1"/>
        <v>362243.91</v>
      </c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</row>
    <row r="658">
      <c r="A658" s="159"/>
      <c r="B658" s="160"/>
      <c r="C658" s="161"/>
      <c r="D658" s="162"/>
      <c r="E658" s="163"/>
      <c r="F658" s="79"/>
      <c r="G658" s="164"/>
      <c r="H658" s="165">
        <f t="shared" si="1"/>
        <v>362243.91</v>
      </c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</row>
    <row r="659">
      <c r="A659" s="159"/>
      <c r="B659" s="160"/>
      <c r="C659" s="161"/>
      <c r="D659" s="162"/>
      <c r="E659" s="163"/>
      <c r="F659" s="79"/>
      <c r="G659" s="164"/>
      <c r="H659" s="165">
        <f t="shared" si="1"/>
        <v>362243.91</v>
      </c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</row>
    <row r="660">
      <c r="A660" s="159"/>
      <c r="B660" s="160"/>
      <c r="C660" s="161"/>
      <c r="D660" s="162"/>
      <c r="E660" s="163"/>
      <c r="F660" s="79"/>
      <c r="G660" s="164"/>
      <c r="H660" s="165">
        <f t="shared" si="1"/>
        <v>362243.91</v>
      </c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</row>
    <row r="661">
      <c r="A661" s="159"/>
      <c r="B661" s="160"/>
      <c r="C661" s="161"/>
      <c r="D661" s="162"/>
      <c r="E661" s="163"/>
      <c r="F661" s="79"/>
      <c r="G661" s="164"/>
      <c r="H661" s="165">
        <f t="shared" si="1"/>
        <v>362243.91</v>
      </c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</row>
    <row r="662">
      <c r="A662" s="159"/>
      <c r="B662" s="160"/>
      <c r="C662" s="161"/>
      <c r="D662" s="162"/>
      <c r="E662" s="163"/>
      <c r="F662" s="79"/>
      <c r="G662" s="164"/>
      <c r="H662" s="165">
        <f t="shared" si="1"/>
        <v>362243.91</v>
      </c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</row>
    <row r="663">
      <c r="A663" s="159"/>
      <c r="B663" s="160"/>
      <c r="C663" s="161"/>
      <c r="D663" s="162"/>
      <c r="E663" s="163"/>
      <c r="F663" s="79"/>
      <c r="G663" s="164"/>
      <c r="H663" s="165">
        <f t="shared" si="1"/>
        <v>362243.91</v>
      </c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</row>
    <row r="664">
      <c r="A664" s="159"/>
      <c r="B664" s="160"/>
      <c r="C664" s="161"/>
      <c r="D664" s="162"/>
      <c r="E664" s="163"/>
      <c r="F664" s="79"/>
      <c r="G664" s="164"/>
      <c r="H664" s="165">
        <f t="shared" si="1"/>
        <v>362243.91</v>
      </c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</row>
    <row r="665">
      <c r="A665" s="159"/>
      <c r="B665" s="160"/>
      <c r="C665" s="161"/>
      <c r="D665" s="162"/>
      <c r="E665" s="163"/>
      <c r="F665" s="79"/>
      <c r="G665" s="164"/>
      <c r="H665" s="165">
        <f t="shared" si="1"/>
        <v>362243.91</v>
      </c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</row>
    <row r="666">
      <c r="A666" s="159"/>
      <c r="B666" s="160"/>
      <c r="C666" s="161"/>
      <c r="D666" s="162"/>
      <c r="E666" s="163"/>
      <c r="F666" s="79"/>
      <c r="G666" s="164"/>
      <c r="H666" s="165">
        <f t="shared" si="1"/>
        <v>362243.91</v>
      </c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</row>
    <row r="667">
      <c r="A667" s="159"/>
      <c r="B667" s="160"/>
      <c r="C667" s="161"/>
      <c r="D667" s="162"/>
      <c r="E667" s="163"/>
      <c r="F667" s="79"/>
      <c r="G667" s="164"/>
      <c r="H667" s="165">
        <f t="shared" si="1"/>
        <v>362243.91</v>
      </c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</row>
    <row r="668">
      <c r="A668" s="159"/>
      <c r="B668" s="160"/>
      <c r="C668" s="161"/>
      <c r="D668" s="162"/>
      <c r="E668" s="163"/>
      <c r="F668" s="79"/>
      <c r="G668" s="164"/>
      <c r="H668" s="165">
        <f t="shared" si="1"/>
        <v>362243.91</v>
      </c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</row>
    <row r="669">
      <c r="A669" s="159"/>
      <c r="B669" s="160"/>
      <c r="C669" s="161"/>
      <c r="D669" s="162"/>
      <c r="E669" s="163"/>
      <c r="F669" s="79"/>
      <c r="G669" s="164"/>
      <c r="H669" s="165">
        <f t="shared" si="1"/>
        <v>362243.91</v>
      </c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</row>
    <row r="670">
      <c r="A670" s="159"/>
      <c r="B670" s="160"/>
      <c r="C670" s="161"/>
      <c r="D670" s="162"/>
      <c r="E670" s="163"/>
      <c r="F670" s="79"/>
      <c r="G670" s="164"/>
      <c r="H670" s="165">
        <f t="shared" si="1"/>
        <v>362243.91</v>
      </c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</row>
    <row r="671">
      <c r="A671" s="159"/>
      <c r="B671" s="160"/>
      <c r="C671" s="161"/>
      <c r="D671" s="162"/>
      <c r="E671" s="163"/>
      <c r="F671" s="79"/>
      <c r="G671" s="164"/>
      <c r="H671" s="165">
        <f t="shared" si="1"/>
        <v>362243.91</v>
      </c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</row>
    <row r="672">
      <c r="A672" s="159"/>
      <c r="B672" s="160"/>
      <c r="C672" s="161"/>
      <c r="D672" s="162"/>
      <c r="E672" s="163"/>
      <c r="F672" s="79"/>
      <c r="G672" s="164"/>
      <c r="H672" s="165">
        <f t="shared" si="1"/>
        <v>362243.91</v>
      </c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</row>
    <row r="673">
      <c r="A673" s="159"/>
      <c r="B673" s="160"/>
      <c r="C673" s="161"/>
      <c r="D673" s="162"/>
      <c r="E673" s="163"/>
      <c r="F673" s="79"/>
      <c r="G673" s="164"/>
      <c r="H673" s="165">
        <f t="shared" si="1"/>
        <v>362243.91</v>
      </c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</row>
    <row r="674">
      <c r="A674" s="159"/>
      <c r="B674" s="160"/>
      <c r="C674" s="161"/>
      <c r="D674" s="162"/>
      <c r="E674" s="163"/>
      <c r="F674" s="79"/>
      <c r="G674" s="164"/>
      <c r="H674" s="165">
        <f t="shared" si="1"/>
        <v>362243.91</v>
      </c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</row>
    <row r="675">
      <c r="A675" s="159"/>
      <c r="B675" s="160"/>
      <c r="C675" s="161"/>
      <c r="D675" s="162"/>
      <c r="E675" s="163"/>
      <c r="F675" s="79"/>
      <c r="G675" s="164"/>
      <c r="H675" s="165">
        <f t="shared" si="1"/>
        <v>362243.91</v>
      </c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</row>
    <row r="676">
      <c r="A676" s="159"/>
      <c r="B676" s="160"/>
      <c r="C676" s="161"/>
      <c r="D676" s="162"/>
      <c r="E676" s="163"/>
      <c r="F676" s="79"/>
      <c r="G676" s="164"/>
      <c r="H676" s="165">
        <f t="shared" si="1"/>
        <v>362243.91</v>
      </c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</row>
    <row r="677">
      <c r="A677" s="159"/>
      <c r="B677" s="160"/>
      <c r="C677" s="161"/>
      <c r="D677" s="162"/>
      <c r="E677" s="163"/>
      <c r="F677" s="79"/>
      <c r="G677" s="164"/>
      <c r="H677" s="165">
        <f t="shared" si="1"/>
        <v>362243.91</v>
      </c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</row>
    <row r="678">
      <c r="A678" s="159"/>
      <c r="B678" s="160"/>
      <c r="C678" s="161"/>
      <c r="D678" s="162"/>
      <c r="E678" s="163"/>
      <c r="F678" s="79"/>
      <c r="G678" s="164"/>
      <c r="H678" s="165">
        <f t="shared" si="1"/>
        <v>362243.91</v>
      </c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</row>
    <row r="679">
      <c r="A679" s="159"/>
      <c r="B679" s="160"/>
      <c r="C679" s="161"/>
      <c r="D679" s="162"/>
      <c r="E679" s="163"/>
      <c r="F679" s="79"/>
      <c r="G679" s="164"/>
      <c r="H679" s="165">
        <f t="shared" si="1"/>
        <v>362243.91</v>
      </c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</row>
    <row r="680">
      <c r="A680" s="159"/>
      <c r="B680" s="160"/>
      <c r="C680" s="161"/>
      <c r="D680" s="162"/>
      <c r="E680" s="163"/>
      <c r="F680" s="79"/>
      <c r="G680" s="164"/>
      <c r="H680" s="165">
        <f t="shared" si="1"/>
        <v>362243.91</v>
      </c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</row>
    <row r="681">
      <c r="A681" s="159"/>
      <c r="B681" s="160"/>
      <c r="C681" s="161"/>
      <c r="D681" s="162"/>
      <c r="E681" s="163"/>
      <c r="F681" s="79"/>
      <c r="G681" s="164"/>
      <c r="H681" s="165">
        <f t="shared" si="1"/>
        <v>362243.91</v>
      </c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</row>
    <row r="682">
      <c r="A682" s="159"/>
      <c r="B682" s="160"/>
      <c r="C682" s="161"/>
      <c r="D682" s="162"/>
      <c r="E682" s="163"/>
      <c r="F682" s="79"/>
      <c r="G682" s="164"/>
      <c r="H682" s="165">
        <f t="shared" si="1"/>
        <v>362243.91</v>
      </c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</row>
    <row r="683">
      <c r="A683" s="159"/>
      <c r="B683" s="160"/>
      <c r="C683" s="161"/>
      <c r="D683" s="162"/>
      <c r="E683" s="163"/>
      <c r="F683" s="79"/>
      <c r="G683" s="164"/>
      <c r="H683" s="165">
        <f t="shared" si="1"/>
        <v>362243.91</v>
      </c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</row>
    <row r="684">
      <c r="A684" s="159"/>
      <c r="B684" s="160"/>
      <c r="C684" s="161"/>
      <c r="D684" s="162"/>
      <c r="E684" s="163"/>
      <c r="F684" s="79"/>
      <c r="G684" s="164"/>
      <c r="H684" s="165">
        <f t="shared" si="1"/>
        <v>362243.91</v>
      </c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</row>
    <row r="685">
      <c r="A685" s="159"/>
      <c r="B685" s="160"/>
      <c r="C685" s="161"/>
      <c r="D685" s="162"/>
      <c r="E685" s="163"/>
      <c r="F685" s="79"/>
      <c r="G685" s="164"/>
      <c r="H685" s="165">
        <f t="shared" si="1"/>
        <v>362243.91</v>
      </c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</row>
    <row r="686">
      <c r="A686" s="159"/>
      <c r="B686" s="160"/>
      <c r="C686" s="161"/>
      <c r="D686" s="162"/>
      <c r="E686" s="163"/>
      <c r="F686" s="79"/>
      <c r="G686" s="164"/>
      <c r="H686" s="165">
        <f t="shared" si="1"/>
        <v>362243.91</v>
      </c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</row>
    <row r="687">
      <c r="A687" s="159"/>
      <c r="B687" s="160"/>
      <c r="C687" s="161"/>
      <c r="D687" s="162"/>
      <c r="E687" s="163"/>
      <c r="F687" s="79"/>
      <c r="G687" s="164"/>
      <c r="H687" s="165">
        <f t="shared" si="1"/>
        <v>362243.91</v>
      </c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</row>
    <row r="688">
      <c r="A688" s="159"/>
      <c r="B688" s="160"/>
      <c r="C688" s="161"/>
      <c r="D688" s="162"/>
      <c r="E688" s="163"/>
      <c r="F688" s="79"/>
      <c r="G688" s="164"/>
      <c r="H688" s="165">
        <f t="shared" si="1"/>
        <v>362243.91</v>
      </c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</row>
    <row r="689">
      <c r="A689" s="159"/>
      <c r="B689" s="160"/>
      <c r="C689" s="161"/>
      <c r="D689" s="162"/>
      <c r="E689" s="163"/>
      <c r="F689" s="79"/>
      <c r="G689" s="164"/>
      <c r="H689" s="165">
        <f t="shared" si="1"/>
        <v>362243.91</v>
      </c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</row>
    <row r="690">
      <c r="A690" s="159"/>
      <c r="B690" s="160"/>
      <c r="C690" s="161"/>
      <c r="D690" s="162"/>
      <c r="E690" s="163"/>
      <c r="F690" s="79"/>
      <c r="G690" s="164"/>
      <c r="H690" s="165">
        <f t="shared" si="1"/>
        <v>362243.91</v>
      </c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</row>
    <row r="691">
      <c r="A691" s="159"/>
      <c r="B691" s="160"/>
      <c r="C691" s="161"/>
      <c r="D691" s="162"/>
      <c r="E691" s="163"/>
      <c r="F691" s="79"/>
      <c r="G691" s="164"/>
      <c r="H691" s="165">
        <f t="shared" si="1"/>
        <v>362243.91</v>
      </c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</row>
    <row r="692">
      <c r="A692" s="159"/>
      <c r="B692" s="160"/>
      <c r="C692" s="161"/>
      <c r="D692" s="162"/>
      <c r="E692" s="163"/>
      <c r="F692" s="79"/>
      <c r="G692" s="164"/>
      <c r="H692" s="165">
        <f t="shared" si="1"/>
        <v>362243.91</v>
      </c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</row>
    <row r="693">
      <c r="A693" s="159"/>
      <c r="B693" s="160"/>
      <c r="C693" s="161"/>
      <c r="D693" s="162"/>
      <c r="E693" s="163"/>
      <c r="F693" s="79"/>
      <c r="G693" s="164"/>
      <c r="H693" s="165">
        <f t="shared" si="1"/>
        <v>362243.91</v>
      </c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</row>
    <row r="694">
      <c r="A694" s="159"/>
      <c r="B694" s="160"/>
      <c r="C694" s="161"/>
      <c r="D694" s="162"/>
      <c r="E694" s="163"/>
      <c r="F694" s="79"/>
      <c r="G694" s="164"/>
      <c r="H694" s="165">
        <f t="shared" si="1"/>
        <v>362243.91</v>
      </c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</row>
    <row r="695">
      <c r="A695" s="159"/>
      <c r="B695" s="160"/>
      <c r="C695" s="161"/>
      <c r="D695" s="162"/>
      <c r="E695" s="163"/>
      <c r="F695" s="79"/>
      <c r="G695" s="164"/>
      <c r="H695" s="165">
        <f t="shared" si="1"/>
        <v>362243.91</v>
      </c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</row>
    <row r="696">
      <c r="A696" s="159"/>
      <c r="B696" s="160"/>
      <c r="C696" s="161"/>
      <c r="D696" s="162"/>
      <c r="E696" s="163"/>
      <c r="F696" s="79"/>
      <c r="G696" s="164"/>
      <c r="H696" s="165">
        <f t="shared" si="1"/>
        <v>362243.91</v>
      </c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</row>
    <row r="697">
      <c r="A697" s="159"/>
      <c r="B697" s="160"/>
      <c r="C697" s="161"/>
      <c r="D697" s="162"/>
      <c r="E697" s="163"/>
      <c r="F697" s="79"/>
      <c r="G697" s="164"/>
      <c r="H697" s="165">
        <f t="shared" si="1"/>
        <v>362243.91</v>
      </c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</row>
    <row r="698">
      <c r="A698" s="159"/>
      <c r="B698" s="160"/>
      <c r="C698" s="161"/>
      <c r="D698" s="162"/>
      <c r="E698" s="163"/>
      <c r="F698" s="79"/>
      <c r="G698" s="164"/>
      <c r="H698" s="165">
        <f t="shared" si="1"/>
        <v>362243.91</v>
      </c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</row>
    <row r="699">
      <c r="A699" s="159"/>
      <c r="B699" s="160"/>
      <c r="C699" s="161"/>
      <c r="D699" s="162"/>
      <c r="E699" s="163"/>
      <c r="F699" s="79"/>
      <c r="G699" s="164"/>
      <c r="H699" s="165">
        <f t="shared" si="1"/>
        <v>362243.91</v>
      </c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</row>
    <row r="700">
      <c r="A700" s="159"/>
      <c r="B700" s="160"/>
      <c r="C700" s="161"/>
      <c r="D700" s="162"/>
      <c r="E700" s="163"/>
      <c r="F700" s="79"/>
      <c r="G700" s="164"/>
      <c r="H700" s="165">
        <f t="shared" si="1"/>
        <v>362243.91</v>
      </c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</row>
    <row r="701">
      <c r="A701" s="159"/>
      <c r="B701" s="160"/>
      <c r="C701" s="161"/>
      <c r="D701" s="162"/>
      <c r="E701" s="163"/>
      <c r="F701" s="79"/>
      <c r="G701" s="164"/>
      <c r="H701" s="165">
        <f t="shared" si="1"/>
        <v>362243.91</v>
      </c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</row>
    <row r="702">
      <c r="A702" s="159"/>
      <c r="B702" s="160"/>
      <c r="C702" s="161"/>
      <c r="D702" s="162"/>
      <c r="E702" s="163"/>
      <c r="F702" s="79"/>
      <c r="G702" s="164"/>
      <c r="H702" s="165">
        <f t="shared" si="1"/>
        <v>362243.91</v>
      </c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</row>
    <row r="703">
      <c r="A703" s="159"/>
      <c r="B703" s="160"/>
      <c r="C703" s="161"/>
      <c r="D703" s="162"/>
      <c r="E703" s="163"/>
      <c r="F703" s="79"/>
      <c r="G703" s="164"/>
      <c r="H703" s="165">
        <f t="shared" si="1"/>
        <v>362243.91</v>
      </c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</row>
    <row r="704">
      <c r="A704" s="159"/>
      <c r="B704" s="160"/>
      <c r="C704" s="161"/>
      <c r="D704" s="162"/>
      <c r="E704" s="163"/>
      <c r="F704" s="79"/>
      <c r="G704" s="164"/>
      <c r="H704" s="165">
        <f t="shared" si="1"/>
        <v>362243.91</v>
      </c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</row>
    <row r="705">
      <c r="A705" s="159"/>
      <c r="B705" s="160"/>
      <c r="C705" s="161"/>
      <c r="D705" s="162"/>
      <c r="E705" s="163"/>
      <c r="F705" s="79"/>
      <c r="G705" s="164"/>
      <c r="H705" s="165">
        <f t="shared" si="1"/>
        <v>362243.91</v>
      </c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</row>
    <row r="706">
      <c r="A706" s="159"/>
      <c r="B706" s="160"/>
      <c r="C706" s="161"/>
      <c r="D706" s="162"/>
      <c r="E706" s="163"/>
      <c r="F706" s="79"/>
      <c r="G706" s="164"/>
      <c r="H706" s="165">
        <f t="shared" si="1"/>
        <v>362243.91</v>
      </c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</row>
    <row r="707">
      <c r="A707" s="159"/>
      <c r="B707" s="160"/>
      <c r="C707" s="161"/>
      <c r="D707" s="162"/>
      <c r="E707" s="163"/>
      <c r="F707" s="79"/>
      <c r="G707" s="164"/>
      <c r="H707" s="165">
        <f t="shared" si="1"/>
        <v>362243.91</v>
      </c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</row>
    <row r="708">
      <c r="A708" s="159"/>
      <c r="B708" s="160"/>
      <c r="C708" s="161"/>
      <c r="D708" s="162"/>
      <c r="E708" s="163"/>
      <c r="F708" s="79"/>
      <c r="G708" s="164"/>
      <c r="H708" s="165">
        <f t="shared" si="1"/>
        <v>362243.91</v>
      </c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</row>
    <row r="709">
      <c r="A709" s="159"/>
      <c r="B709" s="160"/>
      <c r="C709" s="161"/>
      <c r="D709" s="162"/>
      <c r="E709" s="163"/>
      <c r="F709" s="79"/>
      <c r="G709" s="164"/>
      <c r="H709" s="165">
        <f t="shared" si="1"/>
        <v>362243.91</v>
      </c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</row>
    <row r="710">
      <c r="A710" s="159"/>
      <c r="B710" s="160"/>
      <c r="C710" s="161"/>
      <c r="D710" s="162"/>
      <c r="E710" s="163"/>
      <c r="F710" s="79"/>
      <c r="G710" s="164"/>
      <c r="H710" s="165">
        <f t="shared" si="1"/>
        <v>362243.91</v>
      </c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</row>
    <row r="711">
      <c r="A711" s="159"/>
      <c r="B711" s="160"/>
      <c r="C711" s="161"/>
      <c r="D711" s="162"/>
      <c r="E711" s="163"/>
      <c r="F711" s="79"/>
      <c r="G711" s="164"/>
      <c r="H711" s="165">
        <f t="shared" si="1"/>
        <v>362243.91</v>
      </c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</row>
    <row r="712">
      <c r="A712" s="159"/>
      <c r="B712" s="160"/>
      <c r="C712" s="161"/>
      <c r="D712" s="162"/>
      <c r="E712" s="163"/>
      <c r="F712" s="79"/>
      <c r="G712" s="164"/>
      <c r="H712" s="165">
        <f t="shared" si="1"/>
        <v>362243.91</v>
      </c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</row>
    <row r="713">
      <c r="A713" s="159"/>
      <c r="B713" s="160"/>
      <c r="C713" s="161"/>
      <c r="D713" s="162"/>
      <c r="E713" s="163"/>
      <c r="F713" s="79"/>
      <c r="G713" s="164"/>
      <c r="H713" s="165">
        <f t="shared" si="1"/>
        <v>362243.91</v>
      </c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</row>
    <row r="714">
      <c r="A714" s="159"/>
      <c r="B714" s="160"/>
      <c r="C714" s="161"/>
      <c r="D714" s="162"/>
      <c r="E714" s="163"/>
      <c r="F714" s="79"/>
      <c r="G714" s="164"/>
      <c r="H714" s="165">
        <f t="shared" si="1"/>
        <v>362243.91</v>
      </c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</row>
    <row r="715">
      <c r="A715" s="159"/>
      <c r="B715" s="160"/>
      <c r="C715" s="161"/>
      <c r="D715" s="162"/>
      <c r="E715" s="163"/>
      <c r="F715" s="79"/>
      <c r="G715" s="164"/>
      <c r="H715" s="165">
        <f t="shared" si="1"/>
        <v>362243.91</v>
      </c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</row>
    <row r="716">
      <c r="A716" s="159"/>
      <c r="B716" s="160"/>
      <c r="C716" s="161"/>
      <c r="D716" s="162"/>
      <c r="E716" s="163"/>
      <c r="F716" s="79"/>
      <c r="G716" s="164"/>
      <c r="H716" s="165">
        <f t="shared" si="1"/>
        <v>362243.91</v>
      </c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</row>
    <row r="717">
      <c r="A717" s="159"/>
      <c r="B717" s="160"/>
      <c r="C717" s="161"/>
      <c r="D717" s="162"/>
      <c r="E717" s="163"/>
      <c r="F717" s="79"/>
      <c r="G717" s="164"/>
      <c r="H717" s="165">
        <f t="shared" si="1"/>
        <v>362243.91</v>
      </c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</row>
    <row r="718">
      <c r="A718" s="159"/>
      <c r="B718" s="160"/>
      <c r="C718" s="161"/>
      <c r="D718" s="162"/>
      <c r="E718" s="163"/>
      <c r="F718" s="79"/>
      <c r="G718" s="164"/>
      <c r="H718" s="165">
        <f t="shared" si="1"/>
        <v>362243.91</v>
      </c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</row>
    <row r="719">
      <c r="A719" s="159"/>
      <c r="B719" s="160"/>
      <c r="C719" s="161"/>
      <c r="D719" s="162"/>
      <c r="E719" s="163"/>
      <c r="F719" s="79"/>
      <c r="G719" s="164"/>
      <c r="H719" s="165">
        <f t="shared" si="1"/>
        <v>362243.91</v>
      </c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</row>
    <row r="720">
      <c r="A720" s="159"/>
      <c r="B720" s="160"/>
      <c r="C720" s="161"/>
      <c r="D720" s="162"/>
      <c r="E720" s="163"/>
      <c r="F720" s="79"/>
      <c r="G720" s="164"/>
      <c r="H720" s="165">
        <f t="shared" si="1"/>
        <v>362243.91</v>
      </c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</row>
    <row r="721">
      <c r="A721" s="159"/>
      <c r="B721" s="160"/>
      <c r="C721" s="161"/>
      <c r="D721" s="162"/>
      <c r="E721" s="163"/>
      <c r="F721" s="79"/>
      <c r="G721" s="164"/>
      <c r="H721" s="165">
        <f t="shared" si="1"/>
        <v>362243.91</v>
      </c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</row>
    <row r="722">
      <c r="A722" s="159"/>
      <c r="B722" s="160"/>
      <c r="C722" s="161"/>
      <c r="D722" s="162"/>
      <c r="E722" s="163"/>
      <c r="F722" s="79"/>
      <c r="G722" s="164"/>
      <c r="H722" s="165">
        <f t="shared" si="1"/>
        <v>362243.91</v>
      </c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</row>
    <row r="723">
      <c r="A723" s="159"/>
      <c r="B723" s="160"/>
      <c r="C723" s="161"/>
      <c r="D723" s="162"/>
      <c r="E723" s="163"/>
      <c r="F723" s="79"/>
      <c r="G723" s="164"/>
      <c r="H723" s="165">
        <f t="shared" si="1"/>
        <v>362243.91</v>
      </c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</row>
    <row r="724">
      <c r="A724" s="159"/>
      <c r="B724" s="160"/>
      <c r="C724" s="161"/>
      <c r="D724" s="162"/>
      <c r="E724" s="163"/>
      <c r="F724" s="79"/>
      <c r="G724" s="164"/>
      <c r="H724" s="165">
        <f t="shared" si="1"/>
        <v>362243.91</v>
      </c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</row>
    <row r="725">
      <c r="A725" s="159"/>
      <c r="B725" s="160"/>
      <c r="C725" s="161"/>
      <c r="D725" s="162"/>
      <c r="E725" s="163"/>
      <c r="F725" s="79"/>
      <c r="G725" s="164"/>
      <c r="H725" s="165">
        <f t="shared" si="1"/>
        <v>362243.91</v>
      </c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</row>
    <row r="726">
      <c r="A726" s="159"/>
      <c r="B726" s="160"/>
      <c r="C726" s="161"/>
      <c r="D726" s="162"/>
      <c r="E726" s="163"/>
      <c r="F726" s="79"/>
      <c r="G726" s="164"/>
      <c r="H726" s="165">
        <f t="shared" si="1"/>
        <v>362243.91</v>
      </c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</row>
    <row r="727">
      <c r="A727" s="159"/>
      <c r="B727" s="160"/>
      <c r="C727" s="161"/>
      <c r="D727" s="162"/>
      <c r="E727" s="163"/>
      <c r="F727" s="79"/>
      <c r="G727" s="164"/>
      <c r="H727" s="165">
        <f t="shared" si="1"/>
        <v>362243.91</v>
      </c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</row>
    <row r="728">
      <c r="A728" s="159"/>
      <c r="B728" s="160"/>
      <c r="C728" s="161"/>
      <c r="D728" s="162"/>
      <c r="E728" s="163"/>
      <c r="F728" s="79"/>
      <c r="G728" s="164"/>
      <c r="H728" s="165">
        <f t="shared" si="1"/>
        <v>362243.91</v>
      </c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</row>
    <row r="729">
      <c r="A729" s="159"/>
      <c r="B729" s="160"/>
      <c r="C729" s="161"/>
      <c r="D729" s="162"/>
      <c r="E729" s="163"/>
      <c r="F729" s="79"/>
      <c r="G729" s="164"/>
      <c r="H729" s="165">
        <f t="shared" si="1"/>
        <v>362243.91</v>
      </c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</row>
    <row r="730">
      <c r="A730" s="159"/>
      <c r="B730" s="160"/>
      <c r="C730" s="161"/>
      <c r="D730" s="162"/>
      <c r="E730" s="163"/>
      <c r="F730" s="79"/>
      <c r="G730" s="164"/>
      <c r="H730" s="165">
        <f t="shared" si="1"/>
        <v>362243.91</v>
      </c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</row>
    <row r="731">
      <c r="A731" s="159"/>
      <c r="B731" s="160"/>
      <c r="C731" s="161"/>
      <c r="D731" s="162"/>
      <c r="E731" s="163"/>
      <c r="F731" s="79"/>
      <c r="G731" s="164"/>
      <c r="H731" s="165">
        <f t="shared" si="1"/>
        <v>362243.91</v>
      </c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</row>
    <row r="732">
      <c r="A732" s="159"/>
      <c r="B732" s="160"/>
      <c r="C732" s="161"/>
      <c r="D732" s="162"/>
      <c r="E732" s="163"/>
      <c r="F732" s="79"/>
      <c r="G732" s="164"/>
      <c r="H732" s="165">
        <f t="shared" si="1"/>
        <v>362243.91</v>
      </c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</row>
    <row r="733">
      <c r="A733" s="159"/>
      <c r="B733" s="160"/>
      <c r="C733" s="161"/>
      <c r="D733" s="162"/>
      <c r="E733" s="163"/>
      <c r="F733" s="79"/>
      <c r="G733" s="164"/>
      <c r="H733" s="165">
        <f t="shared" si="1"/>
        <v>362243.91</v>
      </c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</row>
    <row r="734">
      <c r="A734" s="159"/>
      <c r="B734" s="160"/>
      <c r="C734" s="161"/>
      <c r="D734" s="162"/>
      <c r="E734" s="163"/>
      <c r="F734" s="79"/>
      <c r="G734" s="164"/>
      <c r="H734" s="165">
        <f t="shared" si="1"/>
        <v>362243.91</v>
      </c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</row>
    <row r="735">
      <c r="A735" s="159"/>
      <c r="B735" s="160"/>
      <c r="C735" s="161"/>
      <c r="D735" s="162"/>
      <c r="E735" s="163"/>
      <c r="F735" s="79"/>
      <c r="G735" s="164"/>
      <c r="H735" s="165">
        <f t="shared" si="1"/>
        <v>362243.91</v>
      </c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</row>
    <row r="736">
      <c r="A736" s="159"/>
      <c r="B736" s="160"/>
      <c r="C736" s="161"/>
      <c r="D736" s="162"/>
      <c r="E736" s="163"/>
      <c r="F736" s="79"/>
      <c r="G736" s="164"/>
      <c r="H736" s="165">
        <f t="shared" si="1"/>
        <v>362243.91</v>
      </c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</row>
    <row r="737">
      <c r="A737" s="159"/>
      <c r="B737" s="160"/>
      <c r="C737" s="161"/>
      <c r="D737" s="162"/>
      <c r="E737" s="163"/>
      <c r="F737" s="79"/>
      <c r="G737" s="164"/>
      <c r="H737" s="165">
        <f t="shared" si="1"/>
        <v>362243.91</v>
      </c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</row>
    <row r="738">
      <c r="A738" s="159"/>
      <c r="B738" s="160"/>
      <c r="C738" s="161"/>
      <c r="D738" s="162"/>
      <c r="E738" s="163"/>
      <c r="F738" s="79"/>
      <c r="G738" s="164"/>
      <c r="H738" s="165">
        <f t="shared" si="1"/>
        <v>362243.91</v>
      </c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</row>
    <row r="739">
      <c r="A739" s="159"/>
      <c r="B739" s="160"/>
      <c r="C739" s="161"/>
      <c r="D739" s="162"/>
      <c r="E739" s="163"/>
      <c r="F739" s="79"/>
      <c r="G739" s="164"/>
      <c r="H739" s="165">
        <f t="shared" si="1"/>
        <v>362243.91</v>
      </c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</row>
    <row r="740">
      <c r="A740" s="159"/>
      <c r="B740" s="160"/>
      <c r="C740" s="161"/>
      <c r="D740" s="162"/>
      <c r="E740" s="163"/>
      <c r="F740" s="79"/>
      <c r="G740" s="164"/>
      <c r="H740" s="165">
        <f t="shared" si="1"/>
        <v>362243.91</v>
      </c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</row>
    <row r="741">
      <c r="A741" s="159"/>
      <c r="B741" s="160"/>
      <c r="C741" s="161"/>
      <c r="D741" s="162"/>
      <c r="E741" s="163"/>
      <c r="F741" s="79"/>
      <c r="G741" s="164"/>
      <c r="H741" s="165">
        <f t="shared" si="1"/>
        <v>362243.91</v>
      </c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</row>
    <row r="742">
      <c r="A742" s="159"/>
      <c r="B742" s="160"/>
      <c r="C742" s="161"/>
      <c r="D742" s="162"/>
      <c r="E742" s="163"/>
      <c r="F742" s="79"/>
      <c r="G742" s="164"/>
      <c r="H742" s="165">
        <f t="shared" si="1"/>
        <v>362243.91</v>
      </c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</row>
    <row r="743">
      <c r="A743" s="159"/>
      <c r="B743" s="160"/>
      <c r="C743" s="161"/>
      <c r="D743" s="162"/>
      <c r="E743" s="163"/>
      <c r="F743" s="79"/>
      <c r="G743" s="164"/>
      <c r="H743" s="165">
        <f t="shared" si="1"/>
        <v>362243.91</v>
      </c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</row>
    <row r="744">
      <c r="A744" s="159"/>
      <c r="B744" s="160"/>
      <c r="C744" s="161"/>
      <c r="D744" s="162"/>
      <c r="E744" s="163"/>
      <c r="F744" s="79"/>
      <c r="G744" s="164"/>
      <c r="H744" s="165">
        <f t="shared" si="1"/>
        <v>362243.91</v>
      </c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</row>
    <row r="745">
      <c r="A745" s="159"/>
      <c r="B745" s="160"/>
      <c r="C745" s="161"/>
      <c r="D745" s="162"/>
      <c r="E745" s="163"/>
      <c r="F745" s="79"/>
      <c r="G745" s="164"/>
      <c r="H745" s="165">
        <f t="shared" si="1"/>
        <v>362243.91</v>
      </c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</row>
    <row r="746">
      <c r="A746" s="159"/>
      <c r="B746" s="160"/>
      <c r="C746" s="161"/>
      <c r="D746" s="162"/>
      <c r="E746" s="163"/>
      <c r="F746" s="79"/>
      <c r="G746" s="164"/>
      <c r="H746" s="165">
        <f t="shared" si="1"/>
        <v>362243.91</v>
      </c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</row>
    <row r="747">
      <c r="A747" s="159"/>
      <c r="B747" s="160"/>
      <c r="C747" s="161"/>
      <c r="D747" s="162"/>
      <c r="E747" s="163"/>
      <c r="F747" s="79"/>
      <c r="G747" s="164"/>
      <c r="H747" s="165">
        <f t="shared" si="1"/>
        <v>362243.91</v>
      </c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</row>
    <row r="748">
      <c r="A748" s="159"/>
      <c r="B748" s="160"/>
      <c r="C748" s="161"/>
      <c r="D748" s="162"/>
      <c r="E748" s="163"/>
      <c r="F748" s="79"/>
      <c r="G748" s="164"/>
      <c r="H748" s="165">
        <f t="shared" si="1"/>
        <v>362243.91</v>
      </c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</row>
    <row r="749">
      <c r="A749" s="159"/>
      <c r="B749" s="160"/>
      <c r="C749" s="161"/>
      <c r="D749" s="162"/>
      <c r="E749" s="163"/>
      <c r="F749" s="79"/>
      <c r="G749" s="164"/>
      <c r="H749" s="165">
        <f t="shared" si="1"/>
        <v>362243.91</v>
      </c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</row>
    <row r="750">
      <c r="A750" s="159"/>
      <c r="B750" s="160"/>
      <c r="C750" s="161"/>
      <c r="D750" s="162"/>
      <c r="E750" s="163"/>
      <c r="F750" s="79"/>
      <c r="G750" s="164"/>
      <c r="H750" s="165">
        <f t="shared" si="1"/>
        <v>362243.91</v>
      </c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</row>
    <row r="751">
      <c r="A751" s="159"/>
      <c r="B751" s="160"/>
      <c r="C751" s="161"/>
      <c r="D751" s="162"/>
      <c r="E751" s="163"/>
      <c r="F751" s="79"/>
      <c r="G751" s="164"/>
      <c r="H751" s="165">
        <f t="shared" si="1"/>
        <v>362243.91</v>
      </c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</row>
    <row r="752">
      <c r="A752" s="159"/>
      <c r="B752" s="160"/>
      <c r="C752" s="161"/>
      <c r="D752" s="162"/>
      <c r="E752" s="163"/>
      <c r="F752" s="79"/>
      <c r="G752" s="164"/>
      <c r="H752" s="165">
        <f t="shared" si="1"/>
        <v>362243.91</v>
      </c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</row>
    <row r="753">
      <c r="A753" s="159"/>
      <c r="B753" s="160"/>
      <c r="C753" s="161"/>
      <c r="D753" s="162"/>
      <c r="E753" s="163"/>
      <c r="F753" s="79"/>
      <c r="G753" s="164"/>
      <c r="H753" s="165">
        <f t="shared" si="1"/>
        <v>362243.91</v>
      </c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</row>
    <row r="754">
      <c r="A754" s="159"/>
      <c r="B754" s="160"/>
      <c r="C754" s="161"/>
      <c r="D754" s="162"/>
      <c r="E754" s="163"/>
      <c r="F754" s="79"/>
      <c r="G754" s="164"/>
      <c r="H754" s="165">
        <f t="shared" si="1"/>
        <v>362243.91</v>
      </c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</row>
    <row r="755">
      <c r="A755" s="159"/>
      <c r="B755" s="160"/>
      <c r="C755" s="161"/>
      <c r="D755" s="162"/>
      <c r="E755" s="163"/>
      <c r="F755" s="79"/>
      <c r="G755" s="164"/>
      <c r="H755" s="165">
        <f t="shared" si="1"/>
        <v>362243.91</v>
      </c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</row>
    <row r="756">
      <c r="A756" s="159"/>
      <c r="B756" s="160"/>
      <c r="C756" s="161"/>
      <c r="D756" s="162"/>
      <c r="E756" s="163"/>
      <c r="F756" s="79"/>
      <c r="G756" s="164"/>
      <c r="H756" s="165">
        <f t="shared" si="1"/>
        <v>362243.91</v>
      </c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</row>
    <row r="757">
      <c r="A757" s="159"/>
      <c r="B757" s="160"/>
      <c r="C757" s="161"/>
      <c r="D757" s="162"/>
      <c r="E757" s="163"/>
      <c r="F757" s="79"/>
      <c r="G757" s="164"/>
      <c r="H757" s="165">
        <f t="shared" si="1"/>
        <v>362243.91</v>
      </c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</row>
    <row r="758">
      <c r="A758" s="159"/>
      <c r="B758" s="160"/>
      <c r="C758" s="161"/>
      <c r="D758" s="162"/>
      <c r="E758" s="163"/>
      <c r="F758" s="79"/>
      <c r="G758" s="164"/>
      <c r="H758" s="165">
        <f t="shared" si="1"/>
        <v>362243.91</v>
      </c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</row>
    <row r="759">
      <c r="A759" s="159"/>
      <c r="B759" s="160"/>
      <c r="C759" s="161"/>
      <c r="D759" s="162"/>
      <c r="E759" s="163"/>
      <c r="F759" s="79"/>
      <c r="G759" s="164"/>
      <c r="H759" s="165">
        <f t="shared" si="1"/>
        <v>362243.91</v>
      </c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</row>
    <row r="760">
      <c r="A760" s="159"/>
      <c r="B760" s="160"/>
      <c r="C760" s="161"/>
      <c r="D760" s="162"/>
      <c r="E760" s="163"/>
      <c r="F760" s="79"/>
      <c r="G760" s="164"/>
      <c r="H760" s="165">
        <f t="shared" si="1"/>
        <v>362243.91</v>
      </c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</row>
    <row r="761">
      <c r="A761" s="159"/>
      <c r="B761" s="160"/>
      <c r="C761" s="161"/>
      <c r="D761" s="162"/>
      <c r="E761" s="163"/>
      <c r="F761" s="79"/>
      <c r="G761" s="164"/>
      <c r="H761" s="165">
        <f t="shared" si="1"/>
        <v>362243.91</v>
      </c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</row>
    <row r="762">
      <c r="A762" s="159"/>
      <c r="B762" s="160"/>
      <c r="C762" s="161"/>
      <c r="D762" s="162"/>
      <c r="E762" s="163"/>
      <c r="F762" s="79"/>
      <c r="G762" s="164"/>
      <c r="H762" s="165">
        <f t="shared" si="1"/>
        <v>362243.91</v>
      </c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</row>
    <row r="763">
      <c r="A763" s="159"/>
      <c r="B763" s="160"/>
      <c r="C763" s="161"/>
      <c r="D763" s="162"/>
      <c r="E763" s="163"/>
      <c r="F763" s="79"/>
      <c r="G763" s="164"/>
      <c r="H763" s="165">
        <f t="shared" si="1"/>
        <v>362243.91</v>
      </c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</row>
    <row r="764">
      <c r="A764" s="159"/>
      <c r="B764" s="160"/>
      <c r="C764" s="161"/>
      <c r="D764" s="162"/>
      <c r="E764" s="163"/>
      <c r="F764" s="79"/>
      <c r="G764" s="164"/>
      <c r="H764" s="165">
        <f t="shared" si="1"/>
        <v>362243.91</v>
      </c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</row>
    <row r="765">
      <c r="A765" s="159"/>
      <c r="B765" s="160"/>
      <c r="C765" s="161"/>
      <c r="D765" s="162"/>
      <c r="E765" s="163"/>
      <c r="F765" s="79"/>
      <c r="G765" s="164"/>
      <c r="H765" s="165">
        <f t="shared" si="1"/>
        <v>362243.91</v>
      </c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</row>
    <row r="766">
      <c r="A766" s="159"/>
      <c r="B766" s="160"/>
      <c r="C766" s="161"/>
      <c r="D766" s="162"/>
      <c r="E766" s="163"/>
      <c r="F766" s="79"/>
      <c r="G766" s="164"/>
      <c r="H766" s="165">
        <f t="shared" si="1"/>
        <v>362243.91</v>
      </c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</row>
    <row r="767">
      <c r="A767" s="159"/>
      <c r="B767" s="160"/>
      <c r="C767" s="161"/>
      <c r="D767" s="162"/>
      <c r="E767" s="163"/>
      <c r="F767" s="79"/>
      <c r="G767" s="164"/>
      <c r="H767" s="165">
        <f t="shared" si="1"/>
        <v>362243.91</v>
      </c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</row>
    <row r="768">
      <c r="A768" s="159"/>
      <c r="B768" s="160"/>
      <c r="C768" s="161"/>
      <c r="D768" s="162"/>
      <c r="E768" s="163"/>
      <c r="F768" s="79"/>
      <c r="G768" s="164"/>
      <c r="H768" s="165">
        <f t="shared" si="1"/>
        <v>362243.91</v>
      </c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</row>
    <row r="769">
      <c r="A769" s="159"/>
      <c r="B769" s="160"/>
      <c r="C769" s="161"/>
      <c r="D769" s="162"/>
      <c r="E769" s="163"/>
      <c r="F769" s="79"/>
      <c r="G769" s="164"/>
      <c r="H769" s="165">
        <f t="shared" si="1"/>
        <v>362243.91</v>
      </c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</row>
    <row r="770">
      <c r="A770" s="159"/>
      <c r="B770" s="160"/>
      <c r="C770" s="161"/>
      <c r="D770" s="162"/>
      <c r="E770" s="163"/>
      <c r="F770" s="79"/>
      <c r="G770" s="164"/>
      <c r="H770" s="165">
        <f t="shared" si="1"/>
        <v>362243.91</v>
      </c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</row>
    <row r="771">
      <c r="A771" s="159"/>
      <c r="B771" s="160"/>
      <c r="C771" s="161"/>
      <c r="D771" s="162"/>
      <c r="E771" s="163"/>
      <c r="F771" s="79"/>
      <c r="G771" s="164"/>
      <c r="H771" s="165">
        <f t="shared" si="1"/>
        <v>362243.91</v>
      </c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</row>
    <row r="772">
      <c r="A772" s="159"/>
      <c r="B772" s="160"/>
      <c r="C772" s="161"/>
      <c r="D772" s="162"/>
      <c r="E772" s="163"/>
      <c r="F772" s="79"/>
      <c r="G772" s="164"/>
      <c r="H772" s="165">
        <f t="shared" si="1"/>
        <v>362243.91</v>
      </c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</row>
    <row r="773">
      <c r="A773" s="159"/>
      <c r="B773" s="160"/>
      <c r="C773" s="161"/>
      <c r="D773" s="162"/>
      <c r="E773" s="163"/>
      <c r="F773" s="79"/>
      <c r="G773" s="164"/>
      <c r="H773" s="165">
        <f t="shared" si="1"/>
        <v>362243.91</v>
      </c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</row>
    <row r="774">
      <c r="A774" s="159"/>
      <c r="B774" s="160"/>
      <c r="C774" s="161"/>
      <c r="D774" s="162"/>
      <c r="E774" s="163"/>
      <c r="F774" s="79"/>
      <c r="G774" s="164"/>
      <c r="H774" s="165">
        <f t="shared" si="1"/>
        <v>362243.91</v>
      </c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</row>
    <row r="775">
      <c r="A775" s="159"/>
      <c r="B775" s="160"/>
      <c r="C775" s="161"/>
      <c r="D775" s="162"/>
      <c r="E775" s="163"/>
      <c r="F775" s="79"/>
      <c r="G775" s="164"/>
      <c r="H775" s="165">
        <f t="shared" si="1"/>
        <v>362243.91</v>
      </c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</row>
    <row r="776">
      <c r="A776" s="159"/>
      <c r="B776" s="160"/>
      <c r="C776" s="161"/>
      <c r="D776" s="162"/>
      <c r="E776" s="163"/>
      <c r="F776" s="79"/>
      <c r="G776" s="164"/>
      <c r="H776" s="165">
        <f t="shared" si="1"/>
        <v>362243.91</v>
      </c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</row>
    <row r="777">
      <c r="A777" s="159"/>
      <c r="B777" s="160"/>
      <c r="C777" s="161"/>
      <c r="D777" s="162"/>
      <c r="E777" s="163"/>
      <c r="F777" s="79"/>
      <c r="G777" s="164"/>
      <c r="H777" s="165">
        <f t="shared" si="1"/>
        <v>362243.91</v>
      </c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</row>
    <row r="778">
      <c r="A778" s="159"/>
      <c r="B778" s="160"/>
      <c r="C778" s="161"/>
      <c r="D778" s="162"/>
      <c r="E778" s="163"/>
      <c r="F778" s="79"/>
      <c r="G778" s="164"/>
      <c r="H778" s="165">
        <f t="shared" si="1"/>
        <v>362243.91</v>
      </c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</row>
    <row r="779">
      <c r="A779" s="159"/>
      <c r="B779" s="160"/>
      <c r="C779" s="161"/>
      <c r="D779" s="162"/>
      <c r="E779" s="163"/>
      <c r="F779" s="79"/>
      <c r="G779" s="164"/>
      <c r="H779" s="165">
        <f t="shared" si="1"/>
        <v>362243.91</v>
      </c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</row>
    <row r="780">
      <c r="A780" s="159"/>
      <c r="B780" s="160"/>
      <c r="C780" s="161"/>
      <c r="D780" s="162"/>
      <c r="E780" s="163"/>
      <c r="F780" s="79"/>
      <c r="G780" s="164"/>
      <c r="H780" s="165">
        <f t="shared" si="1"/>
        <v>362243.91</v>
      </c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</row>
    <row r="781">
      <c r="A781" s="159"/>
      <c r="B781" s="160"/>
      <c r="C781" s="161"/>
      <c r="D781" s="162"/>
      <c r="E781" s="163"/>
      <c r="F781" s="79"/>
      <c r="G781" s="164"/>
      <c r="H781" s="165">
        <f t="shared" si="1"/>
        <v>362243.91</v>
      </c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</row>
    <row r="782">
      <c r="A782" s="159"/>
      <c r="B782" s="160"/>
      <c r="C782" s="161"/>
      <c r="D782" s="162"/>
      <c r="E782" s="163"/>
      <c r="F782" s="79"/>
      <c r="G782" s="164"/>
      <c r="H782" s="165">
        <f t="shared" si="1"/>
        <v>362243.91</v>
      </c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</row>
    <row r="783">
      <c r="A783" s="159"/>
      <c r="B783" s="160"/>
      <c r="C783" s="161"/>
      <c r="D783" s="162"/>
      <c r="E783" s="163"/>
      <c r="F783" s="79"/>
      <c r="G783" s="164"/>
      <c r="H783" s="165">
        <f t="shared" si="1"/>
        <v>362243.91</v>
      </c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</row>
    <row r="784">
      <c r="A784" s="159"/>
      <c r="B784" s="160"/>
      <c r="C784" s="161"/>
      <c r="D784" s="162"/>
      <c r="E784" s="163"/>
      <c r="F784" s="79"/>
      <c r="G784" s="164"/>
      <c r="H784" s="165">
        <f t="shared" si="1"/>
        <v>362243.91</v>
      </c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</row>
    <row r="785">
      <c r="A785" s="159"/>
      <c r="B785" s="160"/>
      <c r="C785" s="161"/>
      <c r="D785" s="162"/>
      <c r="E785" s="163"/>
      <c r="F785" s="79"/>
      <c r="G785" s="164"/>
      <c r="H785" s="165">
        <f t="shared" si="1"/>
        <v>362243.91</v>
      </c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</row>
    <row r="786">
      <c r="A786" s="159"/>
      <c r="B786" s="160"/>
      <c r="C786" s="161"/>
      <c r="D786" s="162"/>
      <c r="E786" s="163"/>
      <c r="F786" s="79"/>
      <c r="G786" s="164"/>
      <c r="H786" s="165">
        <f t="shared" si="1"/>
        <v>362243.91</v>
      </c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</row>
    <row r="787">
      <c r="A787" s="159"/>
      <c r="B787" s="160"/>
      <c r="C787" s="161"/>
      <c r="D787" s="162"/>
      <c r="E787" s="163"/>
      <c r="F787" s="79"/>
      <c r="G787" s="164"/>
      <c r="H787" s="165">
        <f t="shared" si="1"/>
        <v>362243.91</v>
      </c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</row>
    <row r="788">
      <c r="A788" s="159"/>
      <c r="B788" s="160"/>
      <c r="C788" s="161"/>
      <c r="D788" s="162"/>
      <c r="E788" s="163"/>
      <c r="F788" s="79"/>
      <c r="G788" s="164"/>
      <c r="H788" s="165">
        <f t="shared" si="1"/>
        <v>362243.91</v>
      </c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</row>
    <row r="789">
      <c r="A789" s="159"/>
      <c r="B789" s="160"/>
      <c r="C789" s="161"/>
      <c r="D789" s="162"/>
      <c r="E789" s="163"/>
      <c r="F789" s="79"/>
      <c r="G789" s="164"/>
      <c r="H789" s="165">
        <f t="shared" si="1"/>
        <v>362243.91</v>
      </c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</row>
    <row r="790">
      <c r="A790" s="159"/>
      <c r="B790" s="160"/>
      <c r="C790" s="161"/>
      <c r="D790" s="162"/>
      <c r="E790" s="163"/>
      <c r="F790" s="79"/>
      <c r="G790" s="164"/>
      <c r="H790" s="165">
        <f t="shared" si="1"/>
        <v>362243.91</v>
      </c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</row>
    <row r="791">
      <c r="A791" s="159"/>
      <c r="B791" s="160"/>
      <c r="C791" s="161"/>
      <c r="D791" s="162"/>
      <c r="E791" s="163"/>
      <c r="F791" s="79"/>
      <c r="G791" s="164"/>
      <c r="H791" s="165">
        <f t="shared" si="1"/>
        <v>362243.91</v>
      </c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</row>
    <row r="792">
      <c r="A792" s="159"/>
      <c r="B792" s="160"/>
      <c r="C792" s="161"/>
      <c r="D792" s="162"/>
      <c r="E792" s="163"/>
      <c r="F792" s="79"/>
      <c r="G792" s="164"/>
      <c r="H792" s="165">
        <f t="shared" si="1"/>
        <v>362243.91</v>
      </c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</row>
    <row r="793">
      <c r="A793" s="159"/>
      <c r="B793" s="160"/>
      <c r="C793" s="161"/>
      <c r="D793" s="162"/>
      <c r="E793" s="163"/>
      <c r="F793" s="79"/>
      <c r="G793" s="164"/>
      <c r="H793" s="165">
        <f t="shared" si="1"/>
        <v>362243.91</v>
      </c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</row>
    <row r="794">
      <c r="A794" s="159"/>
      <c r="B794" s="160"/>
      <c r="C794" s="161"/>
      <c r="D794" s="162"/>
      <c r="E794" s="163"/>
      <c r="F794" s="79"/>
      <c r="G794" s="164"/>
      <c r="H794" s="165">
        <f t="shared" si="1"/>
        <v>362243.91</v>
      </c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</row>
    <row r="795">
      <c r="A795" s="159"/>
      <c r="B795" s="160"/>
      <c r="C795" s="161"/>
      <c r="D795" s="162"/>
      <c r="E795" s="163"/>
      <c r="F795" s="79"/>
      <c r="G795" s="164"/>
      <c r="H795" s="165">
        <f t="shared" si="1"/>
        <v>362243.91</v>
      </c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</row>
    <row r="796">
      <c r="A796" s="159"/>
      <c r="B796" s="160"/>
      <c r="C796" s="161"/>
      <c r="D796" s="162"/>
      <c r="E796" s="163"/>
      <c r="F796" s="79"/>
      <c r="G796" s="164"/>
      <c r="H796" s="165">
        <f t="shared" si="1"/>
        <v>362243.91</v>
      </c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</row>
    <row r="797">
      <c r="A797" s="159"/>
      <c r="B797" s="160"/>
      <c r="C797" s="161"/>
      <c r="D797" s="162"/>
      <c r="E797" s="163"/>
      <c r="F797" s="79"/>
      <c r="G797" s="164"/>
      <c r="H797" s="165">
        <f t="shared" si="1"/>
        <v>362243.91</v>
      </c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</row>
    <row r="798">
      <c r="A798" s="159"/>
      <c r="B798" s="160"/>
      <c r="C798" s="161"/>
      <c r="D798" s="162"/>
      <c r="E798" s="163"/>
      <c r="F798" s="79"/>
      <c r="G798" s="164"/>
      <c r="H798" s="165">
        <f t="shared" si="1"/>
        <v>362243.91</v>
      </c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</row>
    <row r="799">
      <c r="A799" s="159"/>
      <c r="B799" s="160"/>
      <c r="C799" s="161"/>
      <c r="D799" s="162"/>
      <c r="E799" s="163"/>
      <c r="F799" s="79"/>
      <c r="G799" s="164"/>
      <c r="H799" s="165">
        <f t="shared" si="1"/>
        <v>362243.91</v>
      </c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</row>
    <row r="800">
      <c r="A800" s="159"/>
      <c r="B800" s="160"/>
      <c r="C800" s="161"/>
      <c r="D800" s="162"/>
      <c r="E800" s="163"/>
      <c r="F800" s="79"/>
      <c r="G800" s="164"/>
      <c r="H800" s="165">
        <f t="shared" si="1"/>
        <v>362243.91</v>
      </c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</row>
    <row r="801">
      <c r="A801" s="159"/>
      <c r="B801" s="160"/>
      <c r="C801" s="161"/>
      <c r="D801" s="162"/>
      <c r="E801" s="163"/>
      <c r="F801" s="79"/>
      <c r="G801" s="164"/>
      <c r="H801" s="165">
        <f t="shared" si="1"/>
        <v>362243.91</v>
      </c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</row>
    <row r="802">
      <c r="A802" s="159"/>
      <c r="B802" s="160"/>
      <c r="C802" s="161"/>
      <c r="D802" s="162"/>
      <c r="E802" s="163"/>
      <c r="F802" s="79"/>
      <c r="G802" s="164"/>
      <c r="H802" s="165">
        <f t="shared" si="1"/>
        <v>362243.91</v>
      </c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</row>
    <row r="803">
      <c r="A803" s="159"/>
      <c r="B803" s="160"/>
      <c r="C803" s="161"/>
      <c r="D803" s="162"/>
      <c r="E803" s="163"/>
      <c r="F803" s="79"/>
      <c r="G803" s="164"/>
      <c r="H803" s="165">
        <f t="shared" si="1"/>
        <v>362243.91</v>
      </c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</row>
    <row r="804">
      <c r="A804" s="159"/>
      <c r="B804" s="160"/>
      <c r="C804" s="161"/>
      <c r="D804" s="162"/>
      <c r="E804" s="163"/>
      <c r="F804" s="79"/>
      <c r="G804" s="164"/>
      <c r="H804" s="165">
        <f t="shared" si="1"/>
        <v>362243.91</v>
      </c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</row>
    <row r="805">
      <c r="A805" s="159"/>
      <c r="B805" s="160"/>
      <c r="C805" s="161"/>
      <c r="D805" s="162"/>
      <c r="E805" s="163"/>
      <c r="F805" s="79"/>
      <c r="G805" s="164"/>
      <c r="H805" s="165">
        <f t="shared" si="1"/>
        <v>362243.91</v>
      </c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</row>
    <row r="806">
      <c r="A806" s="159"/>
      <c r="B806" s="160"/>
      <c r="C806" s="161"/>
      <c r="D806" s="162"/>
      <c r="E806" s="163"/>
      <c r="F806" s="79"/>
      <c r="G806" s="164"/>
      <c r="H806" s="165">
        <f t="shared" si="1"/>
        <v>362243.91</v>
      </c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</row>
    <row r="807">
      <c r="A807" s="159"/>
      <c r="B807" s="160"/>
      <c r="C807" s="161"/>
      <c r="D807" s="162"/>
      <c r="E807" s="163"/>
      <c r="F807" s="79"/>
      <c r="G807" s="164"/>
      <c r="H807" s="165">
        <f t="shared" si="1"/>
        <v>362243.91</v>
      </c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</row>
    <row r="808">
      <c r="A808" s="159"/>
      <c r="B808" s="160"/>
      <c r="C808" s="161"/>
      <c r="D808" s="162"/>
      <c r="E808" s="163"/>
      <c r="F808" s="79"/>
      <c r="G808" s="164"/>
      <c r="H808" s="165">
        <f t="shared" si="1"/>
        <v>362243.91</v>
      </c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</row>
    <row r="809">
      <c r="A809" s="159"/>
      <c r="B809" s="160"/>
      <c r="C809" s="161"/>
      <c r="D809" s="162"/>
      <c r="E809" s="163"/>
      <c r="F809" s="79"/>
      <c r="G809" s="164"/>
      <c r="H809" s="165">
        <f t="shared" si="1"/>
        <v>362243.91</v>
      </c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</row>
    <row r="810">
      <c r="A810" s="159"/>
      <c r="B810" s="160"/>
      <c r="C810" s="161"/>
      <c r="D810" s="162"/>
      <c r="E810" s="163"/>
      <c r="F810" s="79"/>
      <c r="G810" s="164"/>
      <c r="H810" s="165">
        <f t="shared" si="1"/>
        <v>362243.91</v>
      </c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</row>
    <row r="811">
      <c r="A811" s="159"/>
      <c r="B811" s="160"/>
      <c r="C811" s="161"/>
      <c r="D811" s="162"/>
      <c r="E811" s="163"/>
      <c r="F811" s="79"/>
      <c r="G811" s="164"/>
      <c r="H811" s="165">
        <f t="shared" si="1"/>
        <v>362243.91</v>
      </c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</row>
    <row r="812">
      <c r="A812" s="159"/>
      <c r="B812" s="160"/>
      <c r="C812" s="161"/>
      <c r="D812" s="162"/>
      <c r="E812" s="163"/>
      <c r="F812" s="79"/>
      <c r="G812" s="164"/>
      <c r="H812" s="165">
        <f t="shared" si="1"/>
        <v>362243.91</v>
      </c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</row>
    <row r="813">
      <c r="A813" s="159"/>
      <c r="B813" s="160"/>
      <c r="C813" s="161"/>
      <c r="D813" s="162"/>
      <c r="E813" s="163"/>
      <c r="F813" s="79"/>
      <c r="G813" s="164"/>
      <c r="H813" s="165">
        <f t="shared" si="1"/>
        <v>362243.91</v>
      </c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</row>
    <row r="814">
      <c r="A814" s="159"/>
      <c r="B814" s="160"/>
      <c r="C814" s="161"/>
      <c r="D814" s="162"/>
      <c r="E814" s="163"/>
      <c r="F814" s="79"/>
      <c r="G814" s="164"/>
      <c r="H814" s="165">
        <f t="shared" si="1"/>
        <v>362243.91</v>
      </c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</row>
    <row r="815">
      <c r="A815" s="159"/>
      <c r="B815" s="160"/>
      <c r="C815" s="161"/>
      <c r="D815" s="162"/>
      <c r="E815" s="163"/>
      <c r="F815" s="79"/>
      <c r="G815" s="164"/>
      <c r="H815" s="165">
        <f t="shared" si="1"/>
        <v>362243.91</v>
      </c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</row>
    <row r="816">
      <c r="A816" s="159"/>
      <c r="B816" s="160"/>
      <c r="C816" s="161"/>
      <c r="D816" s="162"/>
      <c r="E816" s="163"/>
      <c r="F816" s="79"/>
      <c r="G816" s="164"/>
      <c r="H816" s="165">
        <f t="shared" si="1"/>
        <v>362243.91</v>
      </c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</row>
    <row r="817">
      <c r="A817" s="159"/>
      <c r="B817" s="160"/>
      <c r="C817" s="161"/>
      <c r="D817" s="162"/>
      <c r="E817" s="163"/>
      <c r="F817" s="79"/>
      <c r="G817" s="164"/>
      <c r="H817" s="165">
        <f t="shared" si="1"/>
        <v>362243.91</v>
      </c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</row>
    <row r="818">
      <c r="A818" s="159"/>
      <c r="B818" s="160"/>
      <c r="C818" s="161"/>
      <c r="D818" s="162"/>
      <c r="E818" s="163"/>
      <c r="F818" s="79"/>
      <c r="G818" s="164"/>
      <c r="H818" s="165">
        <f t="shared" si="1"/>
        <v>362243.91</v>
      </c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</row>
    <row r="819">
      <c r="A819" s="159"/>
      <c r="B819" s="160"/>
      <c r="C819" s="161"/>
      <c r="D819" s="162"/>
      <c r="E819" s="163"/>
      <c r="F819" s="79"/>
      <c r="G819" s="164"/>
      <c r="H819" s="165">
        <f t="shared" si="1"/>
        <v>362243.91</v>
      </c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</row>
    <row r="820">
      <c r="A820" s="159"/>
      <c r="B820" s="160"/>
      <c r="C820" s="161"/>
      <c r="D820" s="162"/>
      <c r="E820" s="163"/>
      <c r="F820" s="79"/>
      <c r="G820" s="164"/>
      <c r="H820" s="165">
        <f t="shared" si="1"/>
        <v>362243.91</v>
      </c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</row>
    <row r="821">
      <c r="A821" s="159"/>
      <c r="B821" s="160"/>
      <c r="C821" s="161"/>
      <c r="D821" s="162"/>
      <c r="E821" s="163"/>
      <c r="F821" s="79"/>
      <c r="G821" s="164"/>
      <c r="H821" s="165">
        <f t="shared" si="1"/>
        <v>362243.91</v>
      </c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</row>
    <row r="822">
      <c r="A822" s="159"/>
      <c r="B822" s="160"/>
      <c r="C822" s="161"/>
      <c r="D822" s="162"/>
      <c r="E822" s="163"/>
      <c r="F822" s="79"/>
      <c r="G822" s="164"/>
      <c r="H822" s="165">
        <f t="shared" si="1"/>
        <v>362243.91</v>
      </c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</row>
    <row r="823">
      <c r="A823" s="159"/>
      <c r="B823" s="160"/>
      <c r="C823" s="161"/>
      <c r="D823" s="162"/>
      <c r="E823" s="163"/>
      <c r="F823" s="79"/>
      <c r="G823" s="164"/>
      <c r="H823" s="165">
        <f t="shared" si="1"/>
        <v>362243.91</v>
      </c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</row>
    <row r="824">
      <c r="A824" s="159"/>
      <c r="B824" s="160"/>
      <c r="C824" s="161"/>
      <c r="D824" s="162"/>
      <c r="E824" s="163"/>
      <c r="F824" s="79"/>
      <c r="G824" s="164"/>
      <c r="H824" s="165">
        <f t="shared" si="1"/>
        <v>362243.91</v>
      </c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</row>
    <row r="825">
      <c r="A825" s="159"/>
      <c r="B825" s="160"/>
      <c r="C825" s="161"/>
      <c r="D825" s="162"/>
      <c r="E825" s="163"/>
      <c r="F825" s="79"/>
      <c r="G825" s="164"/>
      <c r="H825" s="165">
        <f t="shared" si="1"/>
        <v>362243.91</v>
      </c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</row>
    <row r="826">
      <c r="A826" s="159"/>
      <c r="B826" s="160"/>
      <c r="C826" s="161"/>
      <c r="D826" s="162"/>
      <c r="E826" s="163"/>
      <c r="F826" s="79"/>
      <c r="G826" s="164"/>
      <c r="H826" s="165">
        <f t="shared" si="1"/>
        <v>362243.91</v>
      </c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</row>
    <row r="827">
      <c r="A827" s="159"/>
      <c r="B827" s="160"/>
      <c r="C827" s="161"/>
      <c r="D827" s="162"/>
      <c r="E827" s="163"/>
      <c r="F827" s="79"/>
      <c r="G827" s="164"/>
      <c r="H827" s="165">
        <f t="shared" si="1"/>
        <v>362243.91</v>
      </c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</row>
    <row r="828">
      <c r="A828" s="159"/>
      <c r="B828" s="160"/>
      <c r="C828" s="161"/>
      <c r="D828" s="162"/>
      <c r="E828" s="163"/>
      <c r="F828" s="79"/>
      <c r="G828" s="164"/>
      <c r="H828" s="165">
        <f t="shared" si="1"/>
        <v>362243.91</v>
      </c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</row>
    <row r="829">
      <c r="A829" s="159"/>
      <c r="B829" s="160"/>
      <c r="C829" s="161"/>
      <c r="D829" s="162"/>
      <c r="E829" s="163"/>
      <c r="F829" s="79"/>
      <c r="G829" s="164"/>
      <c r="H829" s="165">
        <f t="shared" si="1"/>
        <v>362243.91</v>
      </c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</row>
    <row r="830">
      <c r="A830" s="159"/>
      <c r="B830" s="160"/>
      <c r="C830" s="161"/>
      <c r="D830" s="162"/>
      <c r="E830" s="163"/>
      <c r="F830" s="79"/>
      <c r="G830" s="164"/>
      <c r="H830" s="165">
        <f t="shared" si="1"/>
        <v>362243.91</v>
      </c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</row>
    <row r="831">
      <c r="A831" s="159"/>
      <c r="B831" s="160"/>
      <c r="C831" s="161"/>
      <c r="D831" s="162"/>
      <c r="E831" s="163"/>
      <c r="F831" s="79"/>
      <c r="G831" s="164"/>
      <c r="H831" s="165">
        <f t="shared" si="1"/>
        <v>362243.91</v>
      </c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</row>
    <row r="832">
      <c r="A832" s="159"/>
      <c r="B832" s="160"/>
      <c r="C832" s="161"/>
      <c r="D832" s="162"/>
      <c r="E832" s="163"/>
      <c r="F832" s="79"/>
      <c r="G832" s="164"/>
      <c r="H832" s="165">
        <f t="shared" si="1"/>
        <v>362243.91</v>
      </c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</row>
    <row r="833">
      <c r="A833" s="159"/>
      <c r="B833" s="160"/>
      <c r="C833" s="161"/>
      <c r="D833" s="162"/>
      <c r="E833" s="163"/>
      <c r="F833" s="79"/>
      <c r="G833" s="164"/>
      <c r="H833" s="165">
        <f t="shared" si="1"/>
        <v>362243.91</v>
      </c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</row>
    <row r="834">
      <c r="A834" s="159"/>
      <c r="B834" s="160"/>
      <c r="C834" s="161"/>
      <c r="D834" s="162"/>
      <c r="E834" s="163"/>
      <c r="F834" s="79"/>
      <c r="G834" s="164"/>
      <c r="H834" s="165">
        <f t="shared" si="1"/>
        <v>362243.91</v>
      </c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</row>
    <row r="835">
      <c r="A835" s="159"/>
      <c r="B835" s="160"/>
      <c r="C835" s="161"/>
      <c r="D835" s="162"/>
      <c r="E835" s="163"/>
      <c r="F835" s="79"/>
      <c r="G835" s="164"/>
      <c r="H835" s="165">
        <f t="shared" si="1"/>
        <v>362243.91</v>
      </c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</row>
    <row r="836">
      <c r="A836" s="159"/>
      <c r="B836" s="160"/>
      <c r="C836" s="161"/>
      <c r="D836" s="162"/>
      <c r="E836" s="163"/>
      <c r="F836" s="79"/>
      <c r="G836" s="164"/>
      <c r="H836" s="165">
        <f t="shared" si="1"/>
        <v>362243.91</v>
      </c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</row>
    <row r="837">
      <c r="A837" s="159"/>
      <c r="B837" s="160"/>
      <c r="C837" s="161"/>
      <c r="D837" s="162"/>
      <c r="E837" s="163"/>
      <c r="F837" s="79"/>
      <c r="G837" s="164"/>
      <c r="H837" s="165">
        <f t="shared" si="1"/>
        <v>362243.91</v>
      </c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</row>
    <row r="838">
      <c r="A838" s="159"/>
      <c r="B838" s="160"/>
      <c r="C838" s="161"/>
      <c r="D838" s="162"/>
      <c r="E838" s="163"/>
      <c r="F838" s="79"/>
      <c r="G838" s="164"/>
      <c r="H838" s="165">
        <f t="shared" si="1"/>
        <v>362243.91</v>
      </c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</row>
    <row r="839">
      <c r="A839" s="159"/>
      <c r="B839" s="160"/>
      <c r="C839" s="161"/>
      <c r="D839" s="162"/>
      <c r="E839" s="163"/>
      <c r="F839" s="79"/>
      <c r="G839" s="164"/>
      <c r="H839" s="165">
        <f t="shared" si="1"/>
        <v>362243.91</v>
      </c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</row>
    <row r="840">
      <c r="A840" s="159"/>
      <c r="B840" s="160"/>
      <c r="C840" s="161"/>
      <c r="D840" s="162"/>
      <c r="E840" s="163"/>
      <c r="F840" s="79"/>
      <c r="G840" s="164"/>
      <c r="H840" s="165">
        <f t="shared" si="1"/>
        <v>362243.91</v>
      </c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</row>
    <row r="841">
      <c r="A841" s="159"/>
      <c r="B841" s="160"/>
      <c r="C841" s="161"/>
      <c r="D841" s="162"/>
      <c r="E841" s="163"/>
      <c r="F841" s="79"/>
      <c r="G841" s="164"/>
      <c r="H841" s="165">
        <f t="shared" si="1"/>
        <v>362243.91</v>
      </c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</row>
    <row r="842">
      <c r="A842" s="159"/>
      <c r="B842" s="160"/>
      <c r="C842" s="161"/>
      <c r="D842" s="162"/>
      <c r="E842" s="163"/>
      <c r="F842" s="79"/>
      <c r="G842" s="164"/>
      <c r="H842" s="165">
        <f t="shared" si="1"/>
        <v>362243.91</v>
      </c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</row>
    <row r="843">
      <c r="A843" s="159"/>
      <c r="B843" s="160"/>
      <c r="C843" s="161"/>
      <c r="D843" s="162"/>
      <c r="E843" s="163"/>
      <c r="F843" s="79"/>
      <c r="G843" s="164"/>
      <c r="H843" s="165">
        <f t="shared" si="1"/>
        <v>362243.91</v>
      </c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</row>
    <row r="844">
      <c r="A844" s="159"/>
      <c r="B844" s="160"/>
      <c r="C844" s="161"/>
      <c r="D844" s="162"/>
      <c r="E844" s="163"/>
      <c r="F844" s="79"/>
      <c r="G844" s="164"/>
      <c r="H844" s="165">
        <f t="shared" si="1"/>
        <v>362243.91</v>
      </c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</row>
    <row r="845">
      <c r="A845" s="159"/>
      <c r="B845" s="160"/>
      <c r="C845" s="161"/>
      <c r="D845" s="162"/>
      <c r="E845" s="163"/>
      <c r="F845" s="79"/>
      <c r="G845" s="164"/>
      <c r="H845" s="165">
        <f t="shared" si="1"/>
        <v>362243.91</v>
      </c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</row>
    <row r="846">
      <c r="A846" s="159"/>
      <c r="B846" s="160"/>
      <c r="C846" s="161"/>
      <c r="D846" s="162"/>
      <c r="E846" s="163"/>
      <c r="F846" s="79"/>
      <c r="G846" s="164"/>
      <c r="H846" s="165">
        <f t="shared" si="1"/>
        <v>362243.91</v>
      </c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</row>
    <row r="847">
      <c r="A847" s="159"/>
      <c r="B847" s="160"/>
      <c r="C847" s="161"/>
      <c r="D847" s="162"/>
      <c r="E847" s="163"/>
      <c r="F847" s="79"/>
      <c r="G847" s="164"/>
      <c r="H847" s="165">
        <f t="shared" si="1"/>
        <v>362243.91</v>
      </c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</row>
    <row r="848">
      <c r="A848" s="159"/>
      <c r="B848" s="160"/>
      <c r="C848" s="161"/>
      <c r="D848" s="162"/>
      <c r="E848" s="163"/>
      <c r="F848" s="79"/>
      <c r="G848" s="164"/>
      <c r="H848" s="165">
        <f t="shared" si="1"/>
        <v>362243.91</v>
      </c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</row>
    <row r="849">
      <c r="A849" s="159"/>
      <c r="B849" s="160"/>
      <c r="C849" s="161"/>
      <c r="D849" s="162"/>
      <c r="E849" s="163"/>
      <c r="F849" s="79"/>
      <c r="G849" s="164"/>
      <c r="H849" s="165">
        <f t="shared" si="1"/>
        <v>362243.91</v>
      </c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</row>
    <row r="850">
      <c r="A850" s="159"/>
      <c r="B850" s="160"/>
      <c r="C850" s="161"/>
      <c r="D850" s="162"/>
      <c r="E850" s="163"/>
      <c r="F850" s="79"/>
      <c r="G850" s="164"/>
      <c r="H850" s="165">
        <f t="shared" si="1"/>
        <v>362243.91</v>
      </c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</row>
    <row r="851">
      <c r="A851" s="159"/>
      <c r="B851" s="160"/>
      <c r="C851" s="161"/>
      <c r="D851" s="162"/>
      <c r="E851" s="163"/>
      <c r="F851" s="79"/>
      <c r="G851" s="164"/>
      <c r="H851" s="165">
        <f t="shared" si="1"/>
        <v>362243.91</v>
      </c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</row>
    <row r="852">
      <c r="A852" s="159"/>
      <c r="B852" s="160"/>
      <c r="C852" s="161"/>
      <c r="D852" s="162"/>
      <c r="E852" s="163"/>
      <c r="F852" s="79"/>
      <c r="G852" s="164"/>
      <c r="H852" s="165">
        <f t="shared" si="1"/>
        <v>362243.91</v>
      </c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</row>
    <row r="853">
      <c r="A853" s="159"/>
      <c r="B853" s="160"/>
      <c r="C853" s="161"/>
      <c r="D853" s="162"/>
      <c r="E853" s="163"/>
      <c r="F853" s="79"/>
      <c r="G853" s="164"/>
      <c r="H853" s="165">
        <f t="shared" si="1"/>
        <v>362243.91</v>
      </c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</row>
    <row r="854">
      <c r="A854" s="159"/>
      <c r="B854" s="160"/>
      <c r="C854" s="161"/>
      <c r="D854" s="162"/>
      <c r="E854" s="163"/>
      <c r="F854" s="79"/>
      <c r="G854" s="164"/>
      <c r="H854" s="165">
        <f t="shared" si="1"/>
        <v>362243.91</v>
      </c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</row>
    <row r="855">
      <c r="A855" s="159"/>
      <c r="B855" s="160"/>
      <c r="C855" s="161"/>
      <c r="D855" s="162"/>
      <c r="E855" s="163"/>
      <c r="F855" s="79"/>
      <c r="G855" s="164"/>
      <c r="H855" s="165">
        <f t="shared" si="1"/>
        <v>362243.91</v>
      </c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</row>
    <row r="856">
      <c r="A856" s="159"/>
      <c r="B856" s="160"/>
      <c r="C856" s="161"/>
      <c r="D856" s="162"/>
      <c r="E856" s="163"/>
      <c r="F856" s="79"/>
      <c r="G856" s="164"/>
      <c r="H856" s="165">
        <f t="shared" si="1"/>
        <v>362243.91</v>
      </c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</row>
    <row r="857">
      <c r="A857" s="159"/>
      <c r="B857" s="160"/>
      <c r="C857" s="161"/>
      <c r="D857" s="162"/>
      <c r="E857" s="163"/>
      <c r="F857" s="79"/>
      <c r="G857" s="164"/>
      <c r="H857" s="165">
        <f t="shared" si="1"/>
        <v>362243.91</v>
      </c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</row>
    <row r="858">
      <c r="A858" s="159"/>
      <c r="B858" s="160"/>
      <c r="C858" s="161"/>
      <c r="D858" s="162"/>
      <c r="E858" s="163"/>
      <c r="F858" s="79"/>
      <c r="G858" s="164"/>
      <c r="H858" s="165">
        <f t="shared" si="1"/>
        <v>362243.91</v>
      </c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</row>
    <row r="859">
      <c r="A859" s="159"/>
      <c r="B859" s="160"/>
      <c r="C859" s="161"/>
      <c r="D859" s="162"/>
      <c r="E859" s="163"/>
      <c r="F859" s="79"/>
      <c r="G859" s="164"/>
      <c r="H859" s="165">
        <f t="shared" si="1"/>
        <v>362243.91</v>
      </c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</row>
    <row r="860">
      <c r="A860" s="159"/>
      <c r="B860" s="160"/>
      <c r="C860" s="161"/>
      <c r="D860" s="162"/>
      <c r="E860" s="163"/>
      <c r="F860" s="79"/>
      <c r="G860" s="164"/>
      <c r="H860" s="165">
        <f t="shared" si="1"/>
        <v>362243.91</v>
      </c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</row>
    <row r="861">
      <c r="A861" s="159"/>
      <c r="B861" s="160"/>
      <c r="C861" s="161"/>
      <c r="D861" s="162"/>
      <c r="E861" s="163"/>
      <c r="F861" s="79"/>
      <c r="G861" s="164"/>
      <c r="H861" s="165">
        <f t="shared" si="1"/>
        <v>362243.91</v>
      </c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</row>
    <row r="862">
      <c r="A862" s="159"/>
      <c r="B862" s="160"/>
      <c r="C862" s="161"/>
      <c r="D862" s="162"/>
      <c r="E862" s="163"/>
      <c r="F862" s="79"/>
      <c r="G862" s="164"/>
      <c r="H862" s="165">
        <f t="shared" si="1"/>
        <v>362243.91</v>
      </c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</row>
    <row r="863">
      <c r="A863" s="159"/>
      <c r="B863" s="160"/>
      <c r="C863" s="161"/>
      <c r="D863" s="162"/>
      <c r="E863" s="163"/>
      <c r="F863" s="79"/>
      <c r="G863" s="164"/>
      <c r="H863" s="165">
        <f t="shared" si="1"/>
        <v>362243.91</v>
      </c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</row>
    <row r="864">
      <c r="A864" s="159"/>
      <c r="B864" s="160"/>
      <c r="C864" s="161"/>
      <c r="D864" s="162"/>
      <c r="E864" s="163"/>
      <c r="F864" s="79"/>
      <c r="G864" s="164"/>
      <c r="H864" s="165">
        <f t="shared" si="1"/>
        <v>362243.91</v>
      </c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</row>
    <row r="865">
      <c r="A865" s="159"/>
      <c r="B865" s="160"/>
      <c r="C865" s="161"/>
      <c r="D865" s="162"/>
      <c r="E865" s="163"/>
      <c r="F865" s="79"/>
      <c r="G865" s="164"/>
      <c r="H865" s="165">
        <f t="shared" si="1"/>
        <v>362243.91</v>
      </c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</row>
    <row r="866">
      <c r="A866" s="159"/>
      <c r="B866" s="160"/>
      <c r="C866" s="161"/>
      <c r="D866" s="162"/>
      <c r="E866" s="163"/>
      <c r="F866" s="79"/>
      <c r="G866" s="164"/>
      <c r="H866" s="165">
        <f t="shared" si="1"/>
        <v>362243.91</v>
      </c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</row>
    <row r="867">
      <c r="A867" s="159"/>
      <c r="B867" s="160"/>
      <c r="C867" s="161"/>
      <c r="D867" s="162"/>
      <c r="E867" s="163"/>
      <c r="F867" s="79"/>
      <c r="G867" s="164"/>
      <c r="H867" s="165">
        <f t="shared" si="1"/>
        <v>362243.91</v>
      </c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</row>
    <row r="868">
      <c r="A868" s="159"/>
      <c r="B868" s="160"/>
      <c r="C868" s="161"/>
      <c r="D868" s="162"/>
      <c r="E868" s="163"/>
      <c r="F868" s="79"/>
      <c r="G868" s="164"/>
      <c r="H868" s="165">
        <f t="shared" si="1"/>
        <v>362243.91</v>
      </c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</row>
    <row r="869">
      <c r="A869" s="159"/>
      <c r="B869" s="160"/>
      <c r="C869" s="161"/>
      <c r="D869" s="162"/>
      <c r="E869" s="163"/>
      <c r="F869" s="79"/>
      <c r="G869" s="164"/>
      <c r="H869" s="165">
        <f t="shared" si="1"/>
        <v>362243.91</v>
      </c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</row>
    <row r="870">
      <c r="A870" s="159"/>
      <c r="B870" s="160"/>
      <c r="C870" s="161"/>
      <c r="D870" s="162"/>
      <c r="E870" s="163"/>
      <c r="F870" s="79"/>
      <c r="G870" s="164"/>
      <c r="H870" s="165">
        <f t="shared" si="1"/>
        <v>362243.91</v>
      </c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</row>
    <row r="871">
      <c r="A871" s="159"/>
      <c r="B871" s="160"/>
      <c r="C871" s="161"/>
      <c r="D871" s="162"/>
      <c r="E871" s="163"/>
      <c r="F871" s="79"/>
      <c r="G871" s="164"/>
      <c r="H871" s="165">
        <f t="shared" si="1"/>
        <v>362243.91</v>
      </c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</row>
    <row r="872">
      <c r="A872" s="159"/>
      <c r="B872" s="160"/>
      <c r="C872" s="161"/>
      <c r="D872" s="162"/>
      <c r="E872" s="163"/>
      <c r="F872" s="79"/>
      <c r="G872" s="164"/>
      <c r="H872" s="165">
        <f t="shared" si="1"/>
        <v>362243.91</v>
      </c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</row>
    <row r="873">
      <c r="A873" s="159"/>
      <c r="B873" s="160"/>
      <c r="C873" s="161"/>
      <c r="D873" s="162"/>
      <c r="E873" s="163"/>
      <c r="F873" s="79"/>
      <c r="G873" s="164"/>
      <c r="H873" s="165">
        <f t="shared" si="1"/>
        <v>362243.91</v>
      </c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</row>
    <row r="874">
      <c r="A874" s="159"/>
      <c r="B874" s="160"/>
      <c r="C874" s="161"/>
      <c r="D874" s="162"/>
      <c r="E874" s="163"/>
      <c r="F874" s="79"/>
      <c r="G874" s="164"/>
      <c r="H874" s="165">
        <f t="shared" si="1"/>
        <v>362243.91</v>
      </c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</row>
    <row r="875">
      <c r="A875" s="159"/>
      <c r="B875" s="160"/>
      <c r="C875" s="161"/>
      <c r="D875" s="162"/>
      <c r="E875" s="163"/>
      <c r="F875" s="79"/>
      <c r="G875" s="164"/>
      <c r="H875" s="165">
        <f t="shared" si="1"/>
        <v>362243.91</v>
      </c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</row>
    <row r="876">
      <c r="A876" s="159"/>
      <c r="B876" s="160"/>
      <c r="C876" s="161"/>
      <c r="D876" s="162"/>
      <c r="E876" s="163"/>
      <c r="F876" s="79"/>
      <c r="G876" s="164"/>
      <c r="H876" s="165">
        <f t="shared" si="1"/>
        <v>362243.91</v>
      </c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</row>
    <row r="877">
      <c r="A877" s="159"/>
      <c r="B877" s="160"/>
      <c r="C877" s="161"/>
      <c r="D877" s="162"/>
      <c r="E877" s="163"/>
      <c r="F877" s="79"/>
      <c r="G877" s="164"/>
      <c r="H877" s="165">
        <f t="shared" si="1"/>
        <v>362243.91</v>
      </c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</row>
    <row r="878">
      <c r="A878" s="159"/>
      <c r="B878" s="160"/>
      <c r="C878" s="161"/>
      <c r="D878" s="162"/>
      <c r="E878" s="163"/>
      <c r="F878" s="79"/>
      <c r="G878" s="164"/>
      <c r="H878" s="165">
        <f t="shared" si="1"/>
        <v>362243.91</v>
      </c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</row>
    <row r="879">
      <c r="A879" s="159"/>
      <c r="B879" s="160"/>
      <c r="C879" s="161"/>
      <c r="D879" s="162"/>
      <c r="E879" s="163"/>
      <c r="F879" s="79"/>
      <c r="G879" s="164"/>
      <c r="H879" s="165">
        <f t="shared" si="1"/>
        <v>362243.91</v>
      </c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</row>
    <row r="880">
      <c r="A880" s="159"/>
      <c r="B880" s="160"/>
      <c r="C880" s="161"/>
      <c r="D880" s="162"/>
      <c r="E880" s="163"/>
      <c r="F880" s="79"/>
      <c r="G880" s="164"/>
      <c r="H880" s="165">
        <f t="shared" si="1"/>
        <v>362243.91</v>
      </c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</row>
    <row r="881">
      <c r="A881" s="159"/>
      <c r="B881" s="160"/>
      <c r="C881" s="161"/>
      <c r="D881" s="162"/>
      <c r="E881" s="163"/>
      <c r="F881" s="79"/>
      <c r="G881" s="164"/>
      <c r="H881" s="165">
        <f t="shared" si="1"/>
        <v>362243.91</v>
      </c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</row>
    <row r="882">
      <c r="A882" s="159"/>
      <c r="B882" s="160"/>
      <c r="C882" s="161"/>
      <c r="D882" s="162"/>
      <c r="E882" s="163"/>
      <c r="F882" s="79"/>
      <c r="G882" s="164"/>
      <c r="H882" s="165">
        <f t="shared" si="1"/>
        <v>362243.91</v>
      </c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</row>
    <row r="883">
      <c r="A883" s="159"/>
      <c r="B883" s="160"/>
      <c r="C883" s="161"/>
      <c r="D883" s="162"/>
      <c r="E883" s="163"/>
      <c r="F883" s="79"/>
      <c r="G883" s="164"/>
      <c r="H883" s="165">
        <f t="shared" si="1"/>
        <v>362243.91</v>
      </c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</row>
    <row r="884">
      <c r="A884" s="159"/>
      <c r="B884" s="160"/>
      <c r="C884" s="161"/>
      <c r="D884" s="162"/>
      <c r="E884" s="163"/>
      <c r="F884" s="79"/>
      <c r="G884" s="164"/>
      <c r="H884" s="165">
        <f t="shared" si="1"/>
        <v>362243.91</v>
      </c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</row>
    <row r="885">
      <c r="A885" s="159"/>
      <c r="B885" s="160"/>
      <c r="C885" s="161"/>
      <c r="D885" s="162"/>
      <c r="E885" s="163"/>
      <c r="F885" s="79"/>
      <c r="G885" s="164"/>
      <c r="H885" s="165">
        <f t="shared" si="1"/>
        <v>362243.91</v>
      </c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</row>
    <row r="886">
      <c r="A886" s="159"/>
      <c r="B886" s="160"/>
      <c r="C886" s="161"/>
      <c r="D886" s="162"/>
      <c r="E886" s="163"/>
      <c r="F886" s="79"/>
      <c r="G886" s="164"/>
      <c r="H886" s="165">
        <f t="shared" si="1"/>
        <v>362243.91</v>
      </c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</row>
    <row r="887">
      <c r="A887" s="159"/>
      <c r="B887" s="160"/>
      <c r="C887" s="161"/>
      <c r="D887" s="162"/>
      <c r="E887" s="163"/>
      <c r="F887" s="79"/>
      <c r="G887" s="164"/>
      <c r="H887" s="165">
        <f t="shared" si="1"/>
        <v>362243.91</v>
      </c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</row>
    <row r="888">
      <c r="A888" s="159"/>
      <c r="B888" s="160"/>
      <c r="C888" s="161"/>
      <c r="D888" s="162"/>
      <c r="E888" s="163"/>
      <c r="F888" s="79"/>
      <c r="G888" s="164"/>
      <c r="H888" s="165">
        <f t="shared" si="1"/>
        <v>362243.91</v>
      </c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</row>
    <row r="889">
      <c r="A889" s="159"/>
      <c r="B889" s="160"/>
      <c r="C889" s="161"/>
      <c r="D889" s="162"/>
      <c r="E889" s="163"/>
      <c r="F889" s="79"/>
      <c r="G889" s="164"/>
      <c r="H889" s="165">
        <f t="shared" si="1"/>
        <v>362243.91</v>
      </c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</row>
    <row r="890">
      <c r="A890" s="159"/>
      <c r="B890" s="160"/>
      <c r="C890" s="161"/>
      <c r="D890" s="162"/>
      <c r="E890" s="163"/>
      <c r="F890" s="79"/>
      <c r="G890" s="164"/>
      <c r="H890" s="165">
        <f t="shared" si="1"/>
        <v>362243.91</v>
      </c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</row>
    <row r="891">
      <c r="A891" s="159"/>
      <c r="B891" s="160"/>
      <c r="C891" s="161"/>
      <c r="D891" s="162"/>
      <c r="E891" s="163"/>
      <c r="F891" s="79"/>
      <c r="G891" s="164"/>
      <c r="H891" s="165">
        <f t="shared" si="1"/>
        <v>362243.91</v>
      </c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</row>
    <row r="892">
      <c r="A892" s="159"/>
      <c r="B892" s="160"/>
      <c r="C892" s="161"/>
      <c r="D892" s="162"/>
      <c r="E892" s="163"/>
      <c r="F892" s="79"/>
      <c r="G892" s="164"/>
      <c r="H892" s="165">
        <f t="shared" si="1"/>
        <v>362243.91</v>
      </c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</row>
    <row r="893">
      <c r="A893" s="159"/>
      <c r="B893" s="160"/>
      <c r="C893" s="161"/>
      <c r="D893" s="162"/>
      <c r="E893" s="163"/>
      <c r="F893" s="79"/>
      <c r="G893" s="164"/>
      <c r="H893" s="165">
        <f t="shared" si="1"/>
        <v>362243.91</v>
      </c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</row>
    <row r="894">
      <c r="A894" s="159"/>
      <c r="B894" s="160"/>
      <c r="C894" s="161"/>
      <c r="D894" s="162"/>
      <c r="E894" s="163"/>
      <c r="F894" s="79"/>
      <c r="G894" s="164"/>
      <c r="H894" s="165">
        <f t="shared" si="1"/>
        <v>362243.91</v>
      </c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</row>
    <row r="895">
      <c r="A895" s="159"/>
      <c r="B895" s="160"/>
      <c r="C895" s="161"/>
      <c r="D895" s="162"/>
      <c r="E895" s="163"/>
      <c r="F895" s="79"/>
      <c r="G895" s="164"/>
      <c r="H895" s="165">
        <f t="shared" si="1"/>
        <v>362243.91</v>
      </c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</row>
    <row r="896">
      <c r="A896" s="159"/>
      <c r="B896" s="160"/>
      <c r="C896" s="161"/>
      <c r="D896" s="162"/>
      <c r="E896" s="163"/>
      <c r="F896" s="79"/>
      <c r="G896" s="164"/>
      <c r="H896" s="165">
        <f t="shared" si="1"/>
        <v>362243.91</v>
      </c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</row>
    <row r="897">
      <c r="A897" s="159"/>
      <c r="B897" s="160"/>
      <c r="C897" s="161"/>
      <c r="D897" s="162"/>
      <c r="E897" s="163"/>
      <c r="F897" s="79"/>
      <c r="G897" s="164"/>
      <c r="H897" s="165">
        <f t="shared" si="1"/>
        <v>362243.91</v>
      </c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</row>
    <row r="898">
      <c r="A898" s="159"/>
      <c r="B898" s="160"/>
      <c r="C898" s="161"/>
      <c r="D898" s="162"/>
      <c r="E898" s="163"/>
      <c r="F898" s="79"/>
      <c r="G898" s="164"/>
      <c r="H898" s="165">
        <f t="shared" si="1"/>
        <v>362243.91</v>
      </c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</row>
    <row r="899">
      <c r="A899" s="159"/>
      <c r="B899" s="160"/>
      <c r="C899" s="161"/>
      <c r="D899" s="162"/>
      <c r="E899" s="163"/>
      <c r="F899" s="79"/>
      <c r="G899" s="164"/>
      <c r="H899" s="165">
        <f t="shared" si="1"/>
        <v>362243.91</v>
      </c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</row>
    <row r="900">
      <c r="A900" s="159"/>
      <c r="B900" s="160"/>
      <c r="C900" s="161"/>
      <c r="D900" s="162"/>
      <c r="E900" s="163"/>
      <c r="F900" s="79"/>
      <c r="G900" s="164"/>
      <c r="H900" s="165">
        <f t="shared" si="1"/>
        <v>362243.91</v>
      </c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</row>
    <row r="901">
      <c r="A901" s="159"/>
      <c r="B901" s="160"/>
      <c r="C901" s="161"/>
      <c r="D901" s="162"/>
      <c r="E901" s="163"/>
      <c r="F901" s="79"/>
      <c r="G901" s="164"/>
      <c r="H901" s="165">
        <f t="shared" si="1"/>
        <v>362243.91</v>
      </c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</row>
    <row r="902">
      <c r="A902" s="159"/>
      <c r="B902" s="160"/>
      <c r="C902" s="161"/>
      <c r="D902" s="162"/>
      <c r="E902" s="163"/>
      <c r="F902" s="79"/>
      <c r="G902" s="164"/>
      <c r="H902" s="165">
        <f t="shared" si="1"/>
        <v>362243.91</v>
      </c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</row>
    <row r="903">
      <c r="A903" s="159"/>
      <c r="B903" s="160"/>
      <c r="C903" s="161"/>
      <c r="D903" s="162"/>
      <c r="E903" s="163"/>
      <c r="F903" s="79"/>
      <c r="G903" s="164"/>
      <c r="H903" s="165">
        <f t="shared" si="1"/>
        <v>362243.91</v>
      </c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</row>
    <row r="904">
      <c r="A904" s="159"/>
      <c r="B904" s="160"/>
      <c r="C904" s="161"/>
      <c r="D904" s="162"/>
      <c r="E904" s="163"/>
      <c r="F904" s="79"/>
      <c r="G904" s="164"/>
      <c r="H904" s="165">
        <f t="shared" si="1"/>
        <v>362243.91</v>
      </c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</row>
    <row r="905">
      <c r="A905" s="159"/>
      <c r="B905" s="160"/>
      <c r="C905" s="161"/>
      <c r="D905" s="162"/>
      <c r="E905" s="163"/>
      <c r="F905" s="79"/>
      <c r="G905" s="164"/>
      <c r="H905" s="165">
        <f t="shared" si="1"/>
        <v>362243.91</v>
      </c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</row>
    <row r="906">
      <c r="A906" s="159"/>
      <c r="B906" s="160"/>
      <c r="C906" s="161"/>
      <c r="D906" s="162"/>
      <c r="E906" s="163"/>
      <c r="F906" s="79"/>
      <c r="G906" s="164"/>
      <c r="H906" s="165">
        <f t="shared" si="1"/>
        <v>362243.91</v>
      </c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</row>
    <row r="907">
      <c r="A907" s="159"/>
      <c r="B907" s="160"/>
      <c r="C907" s="161"/>
      <c r="D907" s="162"/>
      <c r="E907" s="163"/>
      <c r="F907" s="79"/>
      <c r="G907" s="164"/>
      <c r="H907" s="165">
        <f t="shared" si="1"/>
        <v>362243.91</v>
      </c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</row>
    <row r="908">
      <c r="A908" s="159"/>
      <c r="B908" s="160"/>
      <c r="C908" s="161"/>
      <c r="D908" s="162"/>
      <c r="E908" s="163"/>
      <c r="F908" s="79"/>
      <c r="G908" s="164"/>
      <c r="H908" s="165">
        <f t="shared" si="1"/>
        <v>362243.91</v>
      </c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</row>
    <row r="909">
      <c r="A909" s="159"/>
      <c r="B909" s="160"/>
      <c r="C909" s="161"/>
      <c r="D909" s="162"/>
      <c r="E909" s="163"/>
      <c r="F909" s="79"/>
      <c r="G909" s="164"/>
      <c r="H909" s="165">
        <f t="shared" si="1"/>
        <v>362243.91</v>
      </c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</row>
    <row r="910">
      <c r="A910" s="159"/>
      <c r="B910" s="160"/>
      <c r="C910" s="161"/>
      <c r="D910" s="162"/>
      <c r="E910" s="163"/>
      <c r="F910" s="79"/>
      <c r="G910" s="164"/>
      <c r="H910" s="165">
        <f t="shared" si="1"/>
        <v>362243.91</v>
      </c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</row>
    <row r="911">
      <c r="A911" s="159"/>
      <c r="B911" s="160"/>
      <c r="C911" s="161"/>
      <c r="D911" s="162"/>
      <c r="E911" s="163"/>
      <c r="F911" s="79"/>
      <c r="G911" s="164"/>
      <c r="H911" s="165">
        <f t="shared" si="1"/>
        <v>362243.91</v>
      </c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</row>
    <row r="912">
      <c r="A912" s="159"/>
      <c r="B912" s="160"/>
      <c r="C912" s="161"/>
      <c r="D912" s="162"/>
      <c r="E912" s="163"/>
      <c r="F912" s="79"/>
      <c r="G912" s="164"/>
      <c r="H912" s="165">
        <f t="shared" si="1"/>
        <v>362243.91</v>
      </c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</row>
    <row r="913">
      <c r="A913" s="159"/>
      <c r="B913" s="160"/>
      <c r="C913" s="161"/>
      <c r="D913" s="162"/>
      <c r="E913" s="163"/>
      <c r="F913" s="79"/>
      <c r="G913" s="164"/>
      <c r="H913" s="165">
        <f t="shared" si="1"/>
        <v>362243.91</v>
      </c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</row>
    <row r="914">
      <c r="A914" s="159"/>
      <c r="B914" s="160"/>
      <c r="C914" s="161"/>
      <c r="D914" s="162"/>
      <c r="E914" s="163"/>
      <c r="F914" s="79"/>
      <c r="G914" s="164"/>
      <c r="H914" s="165">
        <f t="shared" si="1"/>
        <v>362243.91</v>
      </c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</row>
    <row r="915">
      <c r="A915" s="159"/>
      <c r="B915" s="160"/>
      <c r="C915" s="161"/>
      <c r="D915" s="162"/>
      <c r="E915" s="163"/>
      <c r="F915" s="79"/>
      <c r="G915" s="164"/>
      <c r="H915" s="165">
        <f t="shared" si="1"/>
        <v>362243.91</v>
      </c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</row>
    <row r="916">
      <c r="A916" s="159"/>
      <c r="B916" s="160"/>
      <c r="C916" s="161"/>
      <c r="D916" s="162"/>
      <c r="E916" s="163"/>
      <c r="F916" s="79"/>
      <c r="G916" s="164"/>
      <c r="H916" s="165">
        <f t="shared" si="1"/>
        <v>362243.91</v>
      </c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</row>
    <row r="917">
      <c r="A917" s="159"/>
      <c r="B917" s="160"/>
      <c r="C917" s="161"/>
      <c r="D917" s="162"/>
      <c r="E917" s="163"/>
      <c r="F917" s="79"/>
      <c r="G917" s="164"/>
      <c r="H917" s="165">
        <f t="shared" si="1"/>
        <v>362243.91</v>
      </c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</row>
    <row r="918">
      <c r="A918" s="159"/>
      <c r="B918" s="160"/>
      <c r="C918" s="161"/>
      <c r="D918" s="162"/>
      <c r="E918" s="163"/>
      <c r="F918" s="79"/>
      <c r="G918" s="164"/>
      <c r="H918" s="165">
        <f t="shared" si="1"/>
        <v>362243.91</v>
      </c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</row>
    <row r="919">
      <c r="A919" s="159"/>
      <c r="B919" s="160"/>
      <c r="C919" s="161"/>
      <c r="D919" s="162"/>
      <c r="E919" s="163"/>
      <c r="F919" s="79"/>
      <c r="G919" s="164"/>
      <c r="H919" s="165">
        <f t="shared" si="1"/>
        <v>362243.91</v>
      </c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</row>
    <row r="920">
      <c r="A920" s="159"/>
      <c r="B920" s="160"/>
      <c r="C920" s="161"/>
      <c r="D920" s="162"/>
      <c r="E920" s="163"/>
      <c r="F920" s="79"/>
      <c r="G920" s="164"/>
      <c r="H920" s="165">
        <f t="shared" si="1"/>
        <v>362243.91</v>
      </c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</row>
    <row r="921">
      <c r="A921" s="159"/>
      <c r="B921" s="160"/>
      <c r="C921" s="161"/>
      <c r="D921" s="162"/>
      <c r="E921" s="163"/>
      <c r="F921" s="79"/>
      <c r="G921" s="164"/>
      <c r="H921" s="165">
        <f t="shared" si="1"/>
        <v>362243.91</v>
      </c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</row>
    <row r="922">
      <c r="A922" s="159"/>
      <c r="B922" s="160"/>
      <c r="C922" s="161"/>
      <c r="D922" s="162"/>
      <c r="E922" s="163"/>
      <c r="F922" s="79"/>
      <c r="G922" s="164"/>
      <c r="H922" s="165">
        <f t="shared" si="1"/>
        <v>362243.91</v>
      </c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</row>
    <row r="923">
      <c r="A923" s="159"/>
      <c r="B923" s="160"/>
      <c r="C923" s="161"/>
      <c r="D923" s="162"/>
      <c r="E923" s="163"/>
      <c r="F923" s="79"/>
      <c r="G923" s="164"/>
      <c r="H923" s="165">
        <f t="shared" si="1"/>
        <v>362243.91</v>
      </c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</row>
    <row r="924">
      <c r="A924" s="159"/>
      <c r="B924" s="160"/>
      <c r="C924" s="161"/>
      <c r="D924" s="162"/>
      <c r="E924" s="163"/>
      <c r="F924" s="79"/>
      <c r="G924" s="164"/>
      <c r="H924" s="165">
        <f t="shared" si="1"/>
        <v>362243.91</v>
      </c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</row>
    <row r="925">
      <c r="A925" s="159"/>
      <c r="B925" s="160"/>
      <c r="C925" s="161"/>
      <c r="D925" s="162"/>
      <c r="E925" s="163"/>
      <c r="F925" s="79"/>
      <c r="G925" s="164"/>
      <c r="H925" s="165">
        <f t="shared" si="1"/>
        <v>362243.91</v>
      </c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</row>
    <row r="926">
      <c r="A926" s="159"/>
      <c r="B926" s="160"/>
      <c r="C926" s="161"/>
      <c r="D926" s="162"/>
      <c r="E926" s="163"/>
      <c r="F926" s="79"/>
      <c r="G926" s="164"/>
      <c r="H926" s="165">
        <f t="shared" si="1"/>
        <v>362243.91</v>
      </c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</row>
    <row r="927">
      <c r="A927" s="159"/>
      <c r="B927" s="160"/>
      <c r="C927" s="161"/>
      <c r="D927" s="162"/>
      <c r="E927" s="163"/>
      <c r="F927" s="79"/>
      <c r="G927" s="164"/>
      <c r="H927" s="165">
        <f t="shared" si="1"/>
        <v>362243.91</v>
      </c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</row>
    <row r="928">
      <c r="A928" s="159"/>
      <c r="B928" s="160"/>
      <c r="C928" s="161"/>
      <c r="D928" s="162"/>
      <c r="E928" s="163"/>
      <c r="F928" s="79"/>
      <c r="G928" s="164"/>
      <c r="H928" s="165">
        <f t="shared" si="1"/>
        <v>362243.91</v>
      </c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</row>
    <row r="929">
      <c r="A929" s="159"/>
      <c r="B929" s="160"/>
      <c r="C929" s="161"/>
      <c r="D929" s="162"/>
      <c r="E929" s="163"/>
      <c r="F929" s="79"/>
      <c r="G929" s="164"/>
      <c r="H929" s="165">
        <f t="shared" si="1"/>
        <v>362243.91</v>
      </c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</row>
    <row r="930">
      <c r="A930" s="159"/>
      <c r="B930" s="160"/>
      <c r="C930" s="161"/>
      <c r="D930" s="162"/>
      <c r="E930" s="163"/>
      <c r="F930" s="79"/>
      <c r="G930" s="164"/>
      <c r="H930" s="165">
        <f t="shared" si="1"/>
        <v>362243.91</v>
      </c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</row>
    <row r="931">
      <c r="A931" s="159"/>
      <c r="B931" s="160"/>
      <c r="C931" s="161"/>
      <c r="D931" s="162"/>
      <c r="E931" s="163"/>
      <c r="F931" s="79"/>
      <c r="G931" s="164"/>
      <c r="H931" s="165">
        <f t="shared" si="1"/>
        <v>362243.91</v>
      </c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</row>
    <row r="932">
      <c r="A932" s="159"/>
      <c r="B932" s="160"/>
      <c r="C932" s="161"/>
      <c r="D932" s="162"/>
      <c r="E932" s="163"/>
      <c r="F932" s="79"/>
      <c r="G932" s="164"/>
      <c r="H932" s="165">
        <f t="shared" si="1"/>
        <v>362243.91</v>
      </c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</row>
    <row r="933">
      <c r="A933" s="159"/>
      <c r="B933" s="160"/>
      <c r="C933" s="161"/>
      <c r="D933" s="162"/>
      <c r="E933" s="163"/>
      <c r="F933" s="79"/>
      <c r="G933" s="164"/>
      <c r="H933" s="165">
        <f t="shared" si="1"/>
        <v>362243.91</v>
      </c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</row>
    <row r="934">
      <c r="A934" s="159"/>
      <c r="B934" s="160"/>
      <c r="C934" s="161"/>
      <c r="D934" s="162"/>
      <c r="E934" s="163"/>
      <c r="F934" s="79"/>
      <c r="G934" s="164"/>
      <c r="H934" s="165">
        <f t="shared" si="1"/>
        <v>362243.91</v>
      </c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</row>
    <row r="935">
      <c r="A935" s="159"/>
      <c r="B935" s="160"/>
      <c r="C935" s="161"/>
      <c r="D935" s="162"/>
      <c r="E935" s="163"/>
      <c r="F935" s="79"/>
      <c r="G935" s="164"/>
      <c r="H935" s="165">
        <f t="shared" si="1"/>
        <v>362243.91</v>
      </c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</row>
    <row r="936">
      <c r="A936" s="159"/>
      <c r="B936" s="160"/>
      <c r="C936" s="161"/>
      <c r="D936" s="162"/>
      <c r="E936" s="163"/>
      <c r="F936" s="79"/>
      <c r="G936" s="164"/>
      <c r="H936" s="165">
        <f t="shared" si="1"/>
        <v>362243.91</v>
      </c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</row>
    <row r="937">
      <c r="A937" s="159"/>
      <c r="B937" s="160"/>
      <c r="C937" s="161"/>
      <c r="D937" s="162"/>
      <c r="E937" s="163"/>
      <c r="F937" s="79"/>
      <c r="G937" s="164"/>
      <c r="H937" s="165">
        <f t="shared" si="1"/>
        <v>362243.91</v>
      </c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</row>
    <row r="938">
      <c r="A938" s="159"/>
      <c r="B938" s="160"/>
      <c r="C938" s="161"/>
      <c r="D938" s="162"/>
      <c r="E938" s="163"/>
      <c r="F938" s="79"/>
      <c r="G938" s="164"/>
      <c r="H938" s="165">
        <f t="shared" si="1"/>
        <v>362243.91</v>
      </c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</row>
    <row r="939">
      <c r="A939" s="159"/>
      <c r="B939" s="160"/>
      <c r="C939" s="161"/>
      <c r="D939" s="162"/>
      <c r="E939" s="163"/>
      <c r="F939" s="79"/>
      <c r="G939" s="164"/>
      <c r="H939" s="165">
        <f t="shared" si="1"/>
        <v>362243.91</v>
      </c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</row>
    <row r="940">
      <c r="A940" s="159"/>
      <c r="B940" s="160"/>
      <c r="C940" s="161"/>
      <c r="D940" s="162"/>
      <c r="E940" s="163"/>
      <c r="F940" s="79"/>
      <c r="G940" s="164"/>
      <c r="H940" s="165">
        <f t="shared" si="1"/>
        <v>362243.91</v>
      </c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</row>
    <row r="941">
      <c r="A941" s="159"/>
      <c r="B941" s="160"/>
      <c r="C941" s="161"/>
      <c r="D941" s="162"/>
      <c r="E941" s="163"/>
      <c r="F941" s="79"/>
      <c r="G941" s="164"/>
      <c r="H941" s="165">
        <f t="shared" si="1"/>
        <v>362243.91</v>
      </c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</row>
    <row r="942">
      <c r="A942" s="159"/>
      <c r="B942" s="160"/>
      <c r="C942" s="161"/>
      <c r="D942" s="162"/>
      <c r="E942" s="163"/>
      <c r="F942" s="79"/>
      <c r="G942" s="164"/>
      <c r="H942" s="165">
        <f t="shared" si="1"/>
        <v>362243.91</v>
      </c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</row>
    <row r="943">
      <c r="A943" s="159"/>
      <c r="B943" s="160"/>
      <c r="C943" s="161"/>
      <c r="D943" s="162"/>
      <c r="E943" s="163"/>
      <c r="F943" s="79"/>
      <c r="G943" s="164"/>
      <c r="H943" s="165">
        <f t="shared" si="1"/>
        <v>362243.91</v>
      </c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</row>
    <row r="944">
      <c r="A944" s="159"/>
      <c r="B944" s="160"/>
      <c r="C944" s="161"/>
      <c r="D944" s="162"/>
      <c r="E944" s="163"/>
      <c r="F944" s="79"/>
      <c r="G944" s="164"/>
      <c r="H944" s="165">
        <f t="shared" si="1"/>
        <v>362243.91</v>
      </c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</row>
    <row r="945">
      <c r="A945" s="159"/>
      <c r="B945" s="160"/>
      <c r="C945" s="161"/>
      <c r="D945" s="162"/>
      <c r="E945" s="163"/>
      <c r="F945" s="79"/>
      <c r="G945" s="164"/>
      <c r="H945" s="165">
        <f t="shared" si="1"/>
        <v>362243.91</v>
      </c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</row>
    <row r="946">
      <c r="A946" s="159"/>
      <c r="B946" s="160"/>
      <c r="C946" s="161"/>
      <c r="D946" s="162"/>
      <c r="E946" s="163"/>
      <c r="F946" s="79"/>
      <c r="G946" s="164"/>
      <c r="H946" s="165">
        <f t="shared" si="1"/>
        <v>362243.91</v>
      </c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</row>
    <row r="947">
      <c r="A947" s="159"/>
      <c r="B947" s="160"/>
      <c r="C947" s="161"/>
      <c r="D947" s="162"/>
      <c r="E947" s="163"/>
      <c r="F947" s="79"/>
      <c r="G947" s="164"/>
      <c r="H947" s="165">
        <f t="shared" si="1"/>
        <v>362243.91</v>
      </c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</row>
    <row r="948">
      <c r="A948" s="159"/>
      <c r="B948" s="160"/>
      <c r="C948" s="161"/>
      <c r="D948" s="162"/>
      <c r="E948" s="163"/>
      <c r="F948" s="79"/>
      <c r="G948" s="164"/>
      <c r="H948" s="165">
        <f t="shared" si="1"/>
        <v>362243.91</v>
      </c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</row>
    <row r="949">
      <c r="A949" s="159"/>
      <c r="B949" s="160"/>
      <c r="C949" s="161"/>
      <c r="D949" s="162"/>
      <c r="E949" s="163"/>
      <c r="F949" s="79"/>
      <c r="G949" s="164"/>
      <c r="H949" s="165">
        <f t="shared" si="1"/>
        <v>362243.91</v>
      </c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</row>
    <row r="950">
      <c r="A950" s="159"/>
      <c r="B950" s="160"/>
      <c r="C950" s="161"/>
      <c r="D950" s="162"/>
      <c r="E950" s="163"/>
      <c r="F950" s="79"/>
      <c r="G950" s="164"/>
      <c r="H950" s="165">
        <f t="shared" si="1"/>
        <v>362243.91</v>
      </c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</row>
    <row r="951">
      <c r="A951" s="159"/>
      <c r="B951" s="160"/>
      <c r="C951" s="161"/>
      <c r="D951" s="162"/>
      <c r="E951" s="163"/>
      <c r="F951" s="79"/>
      <c r="G951" s="164"/>
      <c r="H951" s="165">
        <f t="shared" si="1"/>
        <v>362243.91</v>
      </c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</row>
    <row r="952">
      <c r="A952" s="159"/>
      <c r="B952" s="160"/>
      <c r="C952" s="161"/>
      <c r="D952" s="162"/>
      <c r="E952" s="163"/>
      <c r="F952" s="79"/>
      <c r="G952" s="164"/>
      <c r="H952" s="165">
        <f t="shared" si="1"/>
        <v>362243.91</v>
      </c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</row>
    <row r="953">
      <c r="A953" s="159"/>
      <c r="B953" s="160"/>
      <c r="C953" s="161"/>
      <c r="D953" s="162"/>
      <c r="E953" s="163"/>
      <c r="F953" s="79"/>
      <c r="G953" s="164"/>
      <c r="H953" s="165">
        <f t="shared" si="1"/>
        <v>362243.91</v>
      </c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</row>
    <row r="954">
      <c r="A954" s="159"/>
      <c r="B954" s="160"/>
      <c r="C954" s="161"/>
      <c r="D954" s="162"/>
      <c r="E954" s="163"/>
      <c r="F954" s="79"/>
      <c r="G954" s="164"/>
      <c r="H954" s="165">
        <f t="shared" si="1"/>
        <v>362243.91</v>
      </c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</row>
    <row r="955">
      <c r="A955" s="159"/>
      <c r="B955" s="160"/>
      <c r="C955" s="161"/>
      <c r="D955" s="162"/>
      <c r="E955" s="163"/>
      <c r="F955" s="79"/>
      <c r="G955" s="164"/>
      <c r="H955" s="165">
        <f t="shared" si="1"/>
        <v>362243.91</v>
      </c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</row>
    <row r="956">
      <c r="A956" s="159"/>
      <c r="B956" s="160"/>
      <c r="C956" s="161"/>
      <c r="D956" s="162"/>
      <c r="E956" s="163"/>
      <c r="F956" s="79"/>
      <c r="G956" s="164"/>
      <c r="H956" s="165">
        <f t="shared" si="1"/>
        <v>362243.91</v>
      </c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</row>
    <row r="957">
      <c r="A957" s="159"/>
      <c r="B957" s="160"/>
      <c r="C957" s="161"/>
      <c r="D957" s="162"/>
      <c r="E957" s="163"/>
      <c r="F957" s="79"/>
      <c r="G957" s="164"/>
      <c r="H957" s="165">
        <f t="shared" si="1"/>
        <v>362243.91</v>
      </c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</row>
    <row r="958">
      <c r="A958" s="159"/>
      <c r="B958" s="160"/>
      <c r="C958" s="161"/>
      <c r="D958" s="162"/>
      <c r="E958" s="163"/>
      <c r="F958" s="79"/>
      <c r="G958" s="164"/>
      <c r="H958" s="165">
        <f t="shared" si="1"/>
        <v>362243.91</v>
      </c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</row>
    <row r="959">
      <c r="A959" s="159"/>
      <c r="B959" s="160"/>
      <c r="C959" s="161"/>
      <c r="D959" s="162"/>
      <c r="E959" s="163"/>
      <c r="F959" s="79"/>
      <c r="G959" s="164"/>
      <c r="H959" s="165">
        <f t="shared" si="1"/>
        <v>362243.91</v>
      </c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</row>
    <row r="960">
      <c r="A960" s="159"/>
      <c r="B960" s="160"/>
      <c r="C960" s="161"/>
      <c r="D960" s="162"/>
      <c r="E960" s="163"/>
      <c r="F960" s="79"/>
      <c r="G960" s="164"/>
      <c r="H960" s="165">
        <f t="shared" si="1"/>
        <v>362243.91</v>
      </c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</row>
    <row r="961">
      <c r="A961" s="159"/>
      <c r="B961" s="160"/>
      <c r="C961" s="161"/>
      <c r="D961" s="162"/>
      <c r="E961" s="163"/>
      <c r="F961" s="79"/>
      <c r="G961" s="164"/>
      <c r="H961" s="165">
        <f t="shared" si="1"/>
        <v>362243.91</v>
      </c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</row>
    <row r="962">
      <c r="A962" s="159"/>
      <c r="B962" s="160"/>
      <c r="C962" s="161"/>
      <c r="D962" s="162"/>
      <c r="E962" s="163"/>
      <c r="F962" s="79"/>
      <c r="G962" s="164"/>
      <c r="H962" s="165">
        <f t="shared" si="1"/>
        <v>362243.91</v>
      </c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</row>
    <row r="963">
      <c r="A963" s="159"/>
      <c r="B963" s="160"/>
      <c r="C963" s="161"/>
      <c r="D963" s="162"/>
      <c r="E963" s="163"/>
      <c r="F963" s="79"/>
      <c r="G963" s="164"/>
      <c r="H963" s="165">
        <f t="shared" si="1"/>
        <v>362243.91</v>
      </c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</row>
    <row r="964">
      <c r="A964" s="159"/>
      <c r="B964" s="160"/>
      <c r="C964" s="161"/>
      <c r="D964" s="162"/>
      <c r="E964" s="163"/>
      <c r="F964" s="79"/>
      <c r="G964" s="164"/>
      <c r="H964" s="165">
        <f t="shared" si="1"/>
        <v>362243.91</v>
      </c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</row>
    <row r="965">
      <c r="A965" s="159"/>
      <c r="B965" s="160"/>
      <c r="C965" s="161"/>
      <c r="D965" s="162"/>
      <c r="E965" s="163"/>
      <c r="F965" s="79"/>
      <c r="G965" s="164"/>
      <c r="H965" s="165">
        <f t="shared" si="1"/>
        <v>362243.91</v>
      </c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</row>
    <row r="966">
      <c r="A966" s="159"/>
      <c r="B966" s="160"/>
      <c r="C966" s="161"/>
      <c r="D966" s="162"/>
      <c r="E966" s="163"/>
      <c r="F966" s="79"/>
      <c r="G966" s="164"/>
      <c r="H966" s="165">
        <f t="shared" si="1"/>
        <v>362243.91</v>
      </c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</row>
    <row r="967">
      <c r="A967" s="159"/>
      <c r="B967" s="160"/>
      <c r="C967" s="161"/>
      <c r="D967" s="162"/>
      <c r="E967" s="163"/>
      <c r="F967" s="79"/>
      <c r="G967" s="164"/>
      <c r="H967" s="165">
        <f t="shared" si="1"/>
        <v>362243.91</v>
      </c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</row>
    <row r="968">
      <c r="A968" s="159"/>
      <c r="B968" s="160"/>
      <c r="C968" s="161"/>
      <c r="D968" s="162"/>
      <c r="E968" s="163"/>
      <c r="F968" s="79"/>
      <c r="G968" s="164"/>
      <c r="H968" s="165">
        <f t="shared" si="1"/>
        <v>362243.91</v>
      </c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</row>
    <row r="969">
      <c r="A969" s="159"/>
      <c r="B969" s="160"/>
      <c r="C969" s="161"/>
      <c r="D969" s="162"/>
      <c r="E969" s="163"/>
      <c r="F969" s="79"/>
      <c r="G969" s="164"/>
      <c r="H969" s="165">
        <f t="shared" si="1"/>
        <v>362243.91</v>
      </c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</row>
    <row r="970">
      <c r="A970" s="159"/>
      <c r="B970" s="160"/>
      <c r="C970" s="161"/>
      <c r="D970" s="162"/>
      <c r="E970" s="163"/>
      <c r="F970" s="79"/>
      <c r="G970" s="164"/>
      <c r="H970" s="165">
        <f t="shared" si="1"/>
        <v>362243.91</v>
      </c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</row>
    <row r="971">
      <c r="A971" s="159"/>
      <c r="B971" s="160"/>
      <c r="C971" s="161"/>
      <c r="D971" s="162"/>
      <c r="E971" s="163"/>
      <c r="F971" s="79"/>
      <c r="G971" s="164"/>
      <c r="H971" s="165">
        <f t="shared" si="1"/>
        <v>362243.91</v>
      </c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</row>
    <row r="972">
      <c r="A972" s="159"/>
      <c r="B972" s="160"/>
      <c r="C972" s="161"/>
      <c r="D972" s="162"/>
      <c r="E972" s="163"/>
      <c r="F972" s="79"/>
      <c r="G972" s="164"/>
      <c r="H972" s="165">
        <f t="shared" si="1"/>
        <v>362243.91</v>
      </c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</row>
    <row r="973">
      <c r="A973" s="159"/>
      <c r="B973" s="160"/>
      <c r="C973" s="161"/>
      <c r="D973" s="162"/>
      <c r="E973" s="163"/>
      <c r="F973" s="79"/>
      <c r="G973" s="164"/>
      <c r="H973" s="165">
        <f t="shared" si="1"/>
        <v>362243.91</v>
      </c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</row>
    <row r="974">
      <c r="A974" s="159"/>
      <c r="B974" s="160"/>
      <c r="C974" s="161"/>
      <c r="D974" s="162"/>
      <c r="E974" s="163"/>
      <c r="F974" s="79"/>
      <c r="G974" s="164"/>
      <c r="H974" s="165">
        <f t="shared" si="1"/>
        <v>362243.91</v>
      </c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</row>
    <row r="975">
      <c r="A975" s="159"/>
      <c r="B975" s="160"/>
      <c r="C975" s="161"/>
      <c r="D975" s="162"/>
      <c r="E975" s="163"/>
      <c r="F975" s="79"/>
      <c r="G975" s="164"/>
      <c r="H975" s="165">
        <f t="shared" si="1"/>
        <v>362243.91</v>
      </c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</row>
    <row r="976">
      <c r="A976" s="159"/>
      <c r="B976" s="160"/>
      <c r="C976" s="161"/>
      <c r="D976" s="162"/>
      <c r="E976" s="163"/>
      <c r="F976" s="79"/>
      <c r="G976" s="164"/>
      <c r="H976" s="165">
        <f t="shared" si="1"/>
        <v>362243.91</v>
      </c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</row>
    <row r="977">
      <c r="A977" s="159"/>
      <c r="B977" s="160"/>
      <c r="C977" s="161"/>
      <c r="D977" s="162"/>
      <c r="E977" s="163"/>
      <c r="F977" s="79"/>
      <c r="G977" s="164"/>
      <c r="H977" s="165">
        <f t="shared" si="1"/>
        <v>362243.91</v>
      </c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</row>
    <row r="978">
      <c r="A978" s="159"/>
      <c r="B978" s="160"/>
      <c r="C978" s="161"/>
      <c r="D978" s="162"/>
      <c r="E978" s="163"/>
      <c r="F978" s="79"/>
      <c r="G978" s="164"/>
      <c r="H978" s="165">
        <f t="shared" si="1"/>
        <v>362243.91</v>
      </c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</row>
    <row r="979">
      <c r="A979" s="159"/>
      <c r="B979" s="160"/>
      <c r="C979" s="161"/>
      <c r="D979" s="162"/>
      <c r="E979" s="163"/>
      <c r="F979" s="79"/>
      <c r="G979" s="164"/>
      <c r="H979" s="165">
        <f t="shared" si="1"/>
        <v>362243.91</v>
      </c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</row>
    <row r="980">
      <c r="A980" s="159"/>
      <c r="B980" s="160"/>
      <c r="C980" s="161"/>
      <c r="D980" s="162"/>
      <c r="E980" s="163"/>
      <c r="F980" s="79"/>
      <c r="G980" s="164"/>
      <c r="H980" s="165">
        <f t="shared" si="1"/>
        <v>362243.91</v>
      </c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</row>
    <row r="981">
      <c r="A981" s="159"/>
      <c r="B981" s="160"/>
      <c r="C981" s="161"/>
      <c r="D981" s="162"/>
      <c r="E981" s="163"/>
      <c r="F981" s="79"/>
      <c r="G981" s="164"/>
      <c r="H981" s="165">
        <f t="shared" si="1"/>
        <v>362243.91</v>
      </c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</row>
    <row r="982">
      <c r="A982" s="159"/>
      <c r="B982" s="160"/>
      <c r="C982" s="161"/>
      <c r="D982" s="162"/>
      <c r="E982" s="163"/>
      <c r="F982" s="79"/>
      <c r="G982" s="164"/>
      <c r="H982" s="165">
        <f t="shared" si="1"/>
        <v>362243.91</v>
      </c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</row>
    <row r="983">
      <c r="A983" s="159"/>
      <c r="B983" s="160"/>
      <c r="C983" s="161"/>
      <c r="D983" s="162"/>
      <c r="E983" s="163"/>
      <c r="F983" s="79"/>
      <c r="G983" s="164"/>
      <c r="H983" s="165">
        <f t="shared" si="1"/>
        <v>362243.91</v>
      </c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</row>
    <row r="984">
      <c r="A984" s="159"/>
      <c r="B984" s="160"/>
      <c r="C984" s="161"/>
      <c r="D984" s="162"/>
      <c r="E984" s="163"/>
      <c r="F984" s="79"/>
      <c r="G984" s="164"/>
      <c r="H984" s="165">
        <f t="shared" si="1"/>
        <v>362243.91</v>
      </c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</row>
    <row r="985">
      <c r="A985" s="159"/>
      <c r="B985" s="160"/>
      <c r="C985" s="161"/>
      <c r="D985" s="162"/>
      <c r="E985" s="163"/>
      <c r="F985" s="79"/>
      <c r="G985" s="164"/>
      <c r="H985" s="165">
        <f t="shared" si="1"/>
        <v>362243.91</v>
      </c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</row>
    <row r="986">
      <c r="A986" s="159"/>
      <c r="B986" s="160"/>
      <c r="C986" s="161"/>
      <c r="D986" s="162"/>
      <c r="E986" s="163"/>
      <c r="F986" s="79"/>
      <c r="G986" s="164"/>
      <c r="H986" s="165">
        <f t="shared" si="1"/>
        <v>362243.91</v>
      </c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</row>
    <row r="987">
      <c r="A987" s="159"/>
      <c r="B987" s="160"/>
      <c r="C987" s="161"/>
      <c r="D987" s="162"/>
      <c r="E987" s="163"/>
      <c r="F987" s="79"/>
      <c r="G987" s="164"/>
      <c r="H987" s="165">
        <f t="shared" si="1"/>
        <v>362243.91</v>
      </c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</row>
    <row r="988">
      <c r="A988" s="159"/>
      <c r="B988" s="160"/>
      <c r="C988" s="161"/>
      <c r="D988" s="162"/>
      <c r="E988" s="163"/>
      <c r="F988" s="79"/>
      <c r="G988" s="164"/>
      <c r="H988" s="165">
        <f t="shared" si="1"/>
        <v>362243.91</v>
      </c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</row>
    <row r="989">
      <c r="A989" s="159"/>
      <c r="B989" s="160"/>
      <c r="C989" s="161"/>
      <c r="D989" s="162"/>
      <c r="E989" s="163"/>
      <c r="F989" s="79"/>
      <c r="G989" s="164"/>
      <c r="H989" s="165">
        <f t="shared" si="1"/>
        <v>362243.91</v>
      </c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</row>
    <row r="990">
      <c r="A990" s="159"/>
      <c r="B990" s="160"/>
      <c r="C990" s="161"/>
      <c r="D990" s="162"/>
      <c r="E990" s="163"/>
      <c r="F990" s="79"/>
      <c r="G990" s="164"/>
      <c r="H990" s="165">
        <f t="shared" si="1"/>
        <v>362243.91</v>
      </c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</row>
    <row r="991">
      <c r="A991" s="159"/>
      <c r="B991" s="160"/>
      <c r="C991" s="161"/>
      <c r="D991" s="162"/>
      <c r="E991" s="163"/>
      <c r="F991" s="79"/>
      <c r="G991" s="164"/>
      <c r="H991" s="165">
        <f t="shared" si="1"/>
        <v>362243.91</v>
      </c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</row>
    <row r="992">
      <c r="A992" s="159"/>
      <c r="B992" s="160"/>
      <c r="C992" s="161"/>
      <c r="D992" s="162"/>
      <c r="E992" s="163"/>
      <c r="F992" s="79"/>
      <c r="G992" s="164"/>
      <c r="H992" s="165">
        <f t="shared" si="1"/>
        <v>362243.91</v>
      </c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</row>
    <row r="993">
      <c r="A993" s="159"/>
      <c r="B993" s="160"/>
      <c r="C993" s="161"/>
      <c r="D993" s="162"/>
      <c r="E993" s="163"/>
      <c r="F993" s="79"/>
      <c r="G993" s="164"/>
      <c r="H993" s="165">
        <f t="shared" si="1"/>
        <v>362243.91</v>
      </c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</row>
    <row r="994">
      <c r="A994" s="159"/>
      <c r="B994" s="160"/>
      <c r="C994" s="161"/>
      <c r="D994" s="162"/>
      <c r="E994" s="163"/>
      <c r="F994" s="79"/>
      <c r="G994" s="164"/>
      <c r="H994" s="165">
        <f t="shared" si="1"/>
        <v>362243.91</v>
      </c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</row>
    <row r="995">
      <c r="A995" s="159"/>
      <c r="B995" s="160"/>
      <c r="C995" s="161"/>
      <c r="D995" s="162"/>
      <c r="E995" s="163"/>
      <c r="F995" s="79"/>
      <c r="G995" s="164"/>
      <c r="H995" s="165">
        <f t="shared" si="1"/>
        <v>362243.91</v>
      </c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</row>
    <row r="996">
      <c r="A996" s="159"/>
      <c r="B996" s="160"/>
      <c r="C996" s="161"/>
      <c r="D996" s="162"/>
      <c r="E996" s="163"/>
      <c r="F996" s="79"/>
      <c r="G996" s="164"/>
      <c r="H996" s="165">
        <f t="shared" si="1"/>
        <v>362243.91</v>
      </c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</row>
    <row r="997">
      <c r="A997" s="159"/>
      <c r="B997" s="160"/>
      <c r="C997" s="161"/>
      <c r="D997" s="162"/>
      <c r="E997" s="163"/>
      <c r="F997" s="79"/>
      <c r="G997" s="164"/>
      <c r="H997" s="165">
        <f t="shared" si="1"/>
        <v>362243.91</v>
      </c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</row>
    <row r="998">
      <c r="A998" s="159"/>
      <c r="B998" s="160"/>
      <c r="C998" s="161"/>
      <c r="D998" s="162"/>
      <c r="E998" s="163"/>
      <c r="F998" s="79"/>
      <c r="G998" s="164"/>
      <c r="H998" s="165">
        <f t="shared" si="1"/>
        <v>362243.91</v>
      </c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</row>
    <row r="999">
      <c r="A999" s="159"/>
      <c r="B999" s="160"/>
      <c r="C999" s="161"/>
      <c r="D999" s="162"/>
      <c r="E999" s="163"/>
      <c r="F999" s="79"/>
      <c r="G999" s="164"/>
      <c r="H999" s="165">
        <f t="shared" si="1"/>
        <v>362243.91</v>
      </c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</row>
    <row r="1000">
      <c r="A1000" s="159"/>
      <c r="B1000" s="160"/>
      <c r="C1000" s="161"/>
      <c r="D1000" s="162"/>
      <c r="E1000" s="163"/>
      <c r="F1000" s="79"/>
      <c r="G1000" s="164"/>
      <c r="H1000" s="165">
        <f t="shared" si="1"/>
        <v>362243.91</v>
      </c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</row>
    <row r="1001">
      <c r="A1001" s="159"/>
      <c r="B1001" s="160"/>
      <c r="C1001" s="161"/>
      <c r="D1001" s="162"/>
      <c r="E1001" s="163"/>
      <c r="F1001" s="79"/>
      <c r="G1001" s="164"/>
      <c r="H1001" s="165">
        <f t="shared" si="1"/>
        <v>362243.91</v>
      </c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</row>
    <row r="1002">
      <c r="A1002" s="159"/>
      <c r="B1002" s="160"/>
      <c r="C1002" s="161"/>
      <c r="D1002" s="162"/>
      <c r="E1002" s="163"/>
      <c r="F1002" s="79"/>
      <c r="G1002" s="164"/>
      <c r="H1002" s="165">
        <f t="shared" si="1"/>
        <v>362243.91</v>
      </c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</row>
    <row r="1003">
      <c r="A1003" s="159"/>
      <c r="B1003" s="160"/>
      <c r="C1003" s="161"/>
      <c r="D1003" s="162"/>
      <c r="E1003" s="163"/>
      <c r="F1003" s="79"/>
      <c r="G1003" s="164"/>
      <c r="H1003" s="165">
        <f t="shared" si="1"/>
        <v>362243.91</v>
      </c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  <c r="S1003" s="76"/>
    </row>
    <row r="1004">
      <c r="A1004" s="159"/>
      <c r="B1004" s="160"/>
      <c r="C1004" s="161"/>
      <c r="D1004" s="162"/>
      <c r="E1004" s="163"/>
      <c r="F1004" s="79"/>
      <c r="G1004" s="164"/>
      <c r="H1004" s="165">
        <f t="shared" si="1"/>
        <v>362243.91</v>
      </c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  <c r="S1004" s="76"/>
    </row>
    <row r="1005">
      <c r="A1005" s="159"/>
      <c r="B1005" s="160"/>
      <c r="C1005" s="161"/>
      <c r="D1005" s="162"/>
      <c r="E1005" s="163"/>
      <c r="F1005" s="79"/>
      <c r="G1005" s="164"/>
      <c r="H1005" s="165">
        <f t="shared" si="1"/>
        <v>362243.91</v>
      </c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  <c r="S1005" s="76"/>
    </row>
    <row r="1006">
      <c r="A1006" s="159"/>
      <c r="B1006" s="160"/>
      <c r="C1006" s="161"/>
      <c r="D1006" s="162"/>
      <c r="E1006" s="163"/>
      <c r="F1006" s="79"/>
      <c r="G1006" s="164"/>
      <c r="H1006" s="165">
        <f t="shared" si="1"/>
        <v>362243.91</v>
      </c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  <c r="S1006" s="76"/>
    </row>
    <row r="1007">
      <c r="A1007" s="159"/>
      <c r="B1007" s="160"/>
      <c r="C1007" s="161"/>
      <c r="D1007" s="162"/>
      <c r="E1007" s="163"/>
      <c r="F1007" s="79"/>
      <c r="G1007" s="164"/>
      <c r="H1007" s="165">
        <f t="shared" si="1"/>
        <v>362243.91</v>
      </c>
      <c r="I1007" s="76"/>
      <c r="J1007" s="76"/>
      <c r="K1007" s="76"/>
      <c r="L1007" s="76"/>
      <c r="M1007" s="76"/>
      <c r="N1007" s="76"/>
      <c r="O1007" s="76"/>
      <c r="P1007" s="76"/>
      <c r="Q1007" s="76"/>
      <c r="R1007" s="76"/>
      <c r="S1007" s="76"/>
    </row>
    <row r="1008">
      <c r="A1008" s="159"/>
      <c r="B1008" s="160"/>
      <c r="C1008" s="161"/>
      <c r="D1008" s="162"/>
      <c r="E1008" s="163"/>
      <c r="F1008" s="79"/>
      <c r="G1008" s="164"/>
      <c r="H1008" s="165">
        <f t="shared" si="1"/>
        <v>362243.91</v>
      </c>
      <c r="I1008" s="76"/>
      <c r="J1008" s="76"/>
      <c r="K1008" s="76"/>
      <c r="L1008" s="76"/>
      <c r="M1008" s="76"/>
      <c r="N1008" s="76"/>
      <c r="O1008" s="76"/>
      <c r="P1008" s="76"/>
      <c r="Q1008" s="76"/>
      <c r="R1008" s="76"/>
      <c r="S1008" s="76"/>
    </row>
    <row r="1009">
      <c r="A1009" s="159"/>
      <c r="B1009" s="160"/>
      <c r="C1009" s="161"/>
      <c r="D1009" s="162"/>
      <c r="E1009" s="163"/>
      <c r="F1009" s="79"/>
      <c r="G1009" s="164"/>
      <c r="H1009" s="165">
        <f t="shared" si="1"/>
        <v>362243.91</v>
      </c>
      <c r="I1009" s="76"/>
      <c r="J1009" s="76"/>
      <c r="K1009" s="76"/>
      <c r="L1009" s="76"/>
      <c r="M1009" s="76"/>
      <c r="N1009" s="76"/>
      <c r="O1009" s="76"/>
      <c r="P1009" s="76"/>
      <c r="Q1009" s="76"/>
      <c r="R1009" s="76"/>
      <c r="S1009" s="76"/>
    </row>
    <row r="1010">
      <c r="A1010" s="159"/>
      <c r="B1010" s="160"/>
      <c r="C1010" s="161"/>
      <c r="D1010" s="162"/>
      <c r="E1010" s="163"/>
      <c r="F1010" s="79"/>
      <c r="G1010" s="164"/>
      <c r="H1010" s="165">
        <f t="shared" si="1"/>
        <v>362243.91</v>
      </c>
      <c r="I1010" s="76"/>
      <c r="J1010" s="76"/>
      <c r="K1010" s="76"/>
      <c r="L1010" s="76"/>
      <c r="M1010" s="76"/>
      <c r="N1010" s="76"/>
      <c r="O1010" s="76"/>
      <c r="P1010" s="76"/>
      <c r="Q1010" s="76"/>
      <c r="R1010" s="76"/>
      <c r="S1010" s="76"/>
    </row>
    <row r="1011">
      <c r="A1011" s="159"/>
      <c r="B1011" s="160"/>
      <c r="C1011" s="161"/>
      <c r="D1011" s="162"/>
      <c r="E1011" s="163"/>
      <c r="F1011" s="79"/>
      <c r="G1011" s="164"/>
      <c r="H1011" s="165">
        <f t="shared" si="1"/>
        <v>362243.91</v>
      </c>
      <c r="I1011" s="76"/>
      <c r="J1011" s="76"/>
      <c r="K1011" s="76"/>
      <c r="L1011" s="76"/>
      <c r="M1011" s="76"/>
      <c r="N1011" s="76"/>
      <c r="O1011" s="76"/>
      <c r="P1011" s="76"/>
      <c r="Q1011" s="76"/>
      <c r="R1011" s="76"/>
      <c r="S1011" s="76"/>
    </row>
    <row r="1012">
      <c r="A1012" s="159"/>
      <c r="B1012" s="160"/>
      <c r="C1012" s="161"/>
      <c r="D1012" s="162"/>
      <c r="E1012" s="163"/>
      <c r="F1012" s="79"/>
      <c r="G1012" s="164"/>
      <c r="H1012" s="165">
        <f t="shared" si="1"/>
        <v>362243.91</v>
      </c>
      <c r="I1012" s="76"/>
      <c r="J1012" s="76"/>
      <c r="K1012" s="76"/>
      <c r="L1012" s="76"/>
      <c r="M1012" s="76"/>
      <c r="N1012" s="76"/>
      <c r="O1012" s="76"/>
      <c r="P1012" s="76"/>
      <c r="Q1012" s="76"/>
      <c r="R1012" s="76"/>
      <c r="S1012" s="76"/>
    </row>
    <row r="1013">
      <c r="A1013" s="159"/>
      <c r="B1013" s="160"/>
      <c r="C1013" s="161"/>
      <c r="D1013" s="162"/>
      <c r="E1013" s="163"/>
      <c r="F1013" s="79"/>
      <c r="G1013" s="164"/>
      <c r="H1013" s="165">
        <f t="shared" si="1"/>
        <v>362243.91</v>
      </c>
      <c r="I1013" s="76"/>
      <c r="J1013" s="76"/>
      <c r="K1013" s="76"/>
      <c r="L1013" s="76"/>
      <c r="M1013" s="76"/>
      <c r="N1013" s="76"/>
      <c r="O1013" s="76"/>
      <c r="P1013" s="76"/>
      <c r="Q1013" s="76"/>
      <c r="R1013" s="76"/>
      <c r="S1013" s="76"/>
    </row>
    <row r="1014">
      <c r="A1014" s="159"/>
      <c r="B1014" s="160"/>
      <c r="C1014" s="161"/>
      <c r="D1014" s="162"/>
      <c r="E1014" s="163"/>
      <c r="F1014" s="79"/>
      <c r="G1014" s="164"/>
      <c r="H1014" s="165">
        <f t="shared" si="1"/>
        <v>362243.91</v>
      </c>
      <c r="I1014" s="76"/>
      <c r="J1014" s="76"/>
      <c r="K1014" s="76"/>
      <c r="L1014" s="76"/>
      <c r="M1014" s="76"/>
      <c r="N1014" s="76"/>
      <c r="O1014" s="76"/>
      <c r="P1014" s="76"/>
      <c r="Q1014" s="76"/>
      <c r="R1014" s="76"/>
      <c r="S1014" s="76"/>
    </row>
    <row r="1015">
      <c r="A1015" s="159"/>
      <c r="B1015" s="160"/>
      <c r="C1015" s="161"/>
      <c r="D1015" s="162"/>
      <c r="E1015" s="163"/>
      <c r="F1015" s="79"/>
      <c r="G1015" s="164"/>
      <c r="H1015" s="165">
        <f t="shared" si="1"/>
        <v>362243.91</v>
      </c>
      <c r="I1015" s="76"/>
      <c r="J1015" s="76"/>
      <c r="K1015" s="76"/>
      <c r="L1015" s="76"/>
      <c r="M1015" s="76"/>
      <c r="N1015" s="76"/>
      <c r="O1015" s="76"/>
      <c r="P1015" s="76"/>
      <c r="Q1015" s="76"/>
      <c r="R1015" s="76"/>
      <c r="S1015" s="76"/>
    </row>
    <row r="1016">
      <c r="A1016" s="159"/>
      <c r="B1016" s="160"/>
      <c r="C1016" s="161"/>
      <c r="D1016" s="162"/>
      <c r="E1016" s="163"/>
      <c r="F1016" s="79"/>
      <c r="G1016" s="164"/>
      <c r="H1016" s="165">
        <f t="shared" si="1"/>
        <v>362243.91</v>
      </c>
      <c r="I1016" s="76"/>
      <c r="J1016" s="76"/>
      <c r="K1016" s="76"/>
      <c r="L1016" s="76"/>
      <c r="M1016" s="76"/>
      <c r="N1016" s="76"/>
      <c r="O1016" s="76"/>
      <c r="P1016" s="76"/>
      <c r="Q1016" s="76"/>
      <c r="R1016" s="76"/>
      <c r="S1016" s="76"/>
    </row>
    <row r="1017">
      <c r="A1017" s="159"/>
      <c r="B1017" s="160"/>
      <c r="C1017" s="161"/>
      <c r="D1017" s="162"/>
      <c r="E1017" s="163"/>
      <c r="F1017" s="79"/>
      <c r="G1017" s="164"/>
      <c r="H1017" s="165">
        <f t="shared" si="1"/>
        <v>362243.91</v>
      </c>
      <c r="I1017" s="76"/>
      <c r="J1017" s="76"/>
      <c r="K1017" s="76"/>
      <c r="L1017" s="76"/>
      <c r="M1017" s="76"/>
      <c r="N1017" s="76"/>
      <c r="O1017" s="76"/>
      <c r="P1017" s="76"/>
      <c r="Q1017" s="76"/>
      <c r="R1017" s="76"/>
      <c r="S1017" s="76"/>
    </row>
    <row r="1018">
      <c r="A1018" s="159"/>
      <c r="B1018" s="160"/>
      <c r="C1018" s="161"/>
      <c r="D1018" s="162"/>
      <c r="E1018" s="163"/>
      <c r="F1018" s="79"/>
      <c r="G1018" s="164"/>
      <c r="H1018" s="165">
        <f t="shared" si="1"/>
        <v>362243.91</v>
      </c>
      <c r="I1018" s="76"/>
      <c r="J1018" s="76"/>
      <c r="K1018" s="76"/>
      <c r="L1018" s="76"/>
      <c r="M1018" s="76"/>
      <c r="N1018" s="76"/>
      <c r="O1018" s="76"/>
      <c r="P1018" s="76"/>
      <c r="Q1018" s="76"/>
      <c r="R1018" s="76"/>
      <c r="S1018" s="76"/>
    </row>
    <row r="1019">
      <c r="A1019" s="159"/>
      <c r="B1019" s="160"/>
      <c r="C1019" s="161"/>
      <c r="D1019" s="162"/>
      <c r="E1019" s="163"/>
      <c r="F1019" s="79"/>
      <c r="G1019" s="164"/>
      <c r="H1019" s="165">
        <f t="shared" si="1"/>
        <v>362243.91</v>
      </c>
      <c r="I1019" s="76"/>
      <c r="J1019" s="76"/>
      <c r="K1019" s="76"/>
      <c r="L1019" s="76"/>
      <c r="M1019" s="76"/>
      <c r="N1019" s="76"/>
      <c r="O1019" s="76"/>
      <c r="P1019" s="76"/>
      <c r="Q1019" s="76"/>
      <c r="R1019" s="76"/>
      <c r="S1019" s="76"/>
    </row>
    <row r="1020">
      <c r="A1020" s="159"/>
      <c r="B1020" s="160"/>
      <c r="C1020" s="161"/>
      <c r="D1020" s="162"/>
      <c r="E1020" s="163"/>
      <c r="F1020" s="79"/>
      <c r="G1020" s="164"/>
      <c r="H1020" s="165">
        <f t="shared" si="1"/>
        <v>362243.91</v>
      </c>
      <c r="I1020" s="76"/>
      <c r="J1020" s="76"/>
      <c r="K1020" s="76"/>
      <c r="L1020" s="76"/>
      <c r="M1020" s="76"/>
      <c r="N1020" s="76"/>
      <c r="O1020" s="76"/>
      <c r="P1020" s="76"/>
      <c r="Q1020" s="76"/>
      <c r="R1020" s="76"/>
      <c r="S1020" s="76"/>
    </row>
    <row r="1021">
      <c r="A1021" s="159"/>
      <c r="B1021" s="160"/>
      <c r="C1021" s="161"/>
      <c r="D1021" s="162"/>
      <c r="E1021" s="163"/>
      <c r="F1021" s="79"/>
      <c r="G1021" s="164"/>
      <c r="H1021" s="165">
        <f t="shared" si="1"/>
        <v>362243.91</v>
      </c>
      <c r="I1021" s="76"/>
      <c r="J1021" s="76"/>
      <c r="K1021" s="76"/>
      <c r="L1021" s="76"/>
      <c r="M1021" s="76"/>
      <c r="N1021" s="76"/>
      <c r="O1021" s="76"/>
      <c r="P1021" s="76"/>
      <c r="Q1021" s="76"/>
      <c r="R1021" s="76"/>
      <c r="S1021" s="76"/>
    </row>
    <row r="1022">
      <c r="A1022" s="159"/>
      <c r="B1022" s="160"/>
      <c r="C1022" s="161"/>
      <c r="D1022" s="162"/>
      <c r="E1022" s="163"/>
      <c r="F1022" s="79"/>
      <c r="G1022" s="164"/>
      <c r="H1022" s="165">
        <f t="shared" si="1"/>
        <v>362243.91</v>
      </c>
      <c r="I1022" s="76"/>
      <c r="J1022" s="76"/>
      <c r="K1022" s="76"/>
      <c r="L1022" s="76"/>
      <c r="M1022" s="76"/>
      <c r="N1022" s="76"/>
      <c r="O1022" s="76"/>
      <c r="P1022" s="76"/>
      <c r="Q1022" s="76"/>
      <c r="R1022" s="76"/>
      <c r="S1022" s="76"/>
    </row>
    <row r="1023">
      <c r="A1023" s="159"/>
      <c r="B1023" s="160"/>
      <c r="C1023" s="161"/>
      <c r="D1023" s="162"/>
      <c r="E1023" s="163"/>
      <c r="F1023" s="79"/>
      <c r="G1023" s="164"/>
      <c r="H1023" s="165">
        <f t="shared" si="1"/>
        <v>362243.91</v>
      </c>
      <c r="I1023" s="76"/>
      <c r="J1023" s="76"/>
      <c r="K1023" s="76"/>
      <c r="L1023" s="76"/>
      <c r="M1023" s="76"/>
      <c r="N1023" s="76"/>
      <c r="O1023" s="76"/>
      <c r="P1023" s="76"/>
      <c r="Q1023" s="76"/>
      <c r="R1023" s="76"/>
      <c r="S1023" s="76"/>
    </row>
    <row r="1024">
      <c r="A1024" s="159"/>
      <c r="B1024" s="160"/>
      <c r="C1024" s="161"/>
      <c r="D1024" s="162"/>
      <c r="E1024" s="163"/>
      <c r="F1024" s="79"/>
      <c r="G1024" s="164"/>
      <c r="H1024" s="165">
        <f t="shared" si="1"/>
        <v>362243.91</v>
      </c>
      <c r="I1024" s="76"/>
      <c r="J1024" s="76"/>
      <c r="K1024" s="76"/>
      <c r="L1024" s="76"/>
      <c r="M1024" s="76"/>
      <c r="N1024" s="76"/>
      <c r="O1024" s="76"/>
      <c r="P1024" s="76"/>
      <c r="Q1024" s="76"/>
      <c r="R1024" s="76"/>
      <c r="S1024" s="76"/>
    </row>
    <row r="1025">
      <c r="A1025" s="159"/>
      <c r="B1025" s="160"/>
      <c r="C1025" s="161"/>
      <c r="D1025" s="162"/>
      <c r="E1025" s="163"/>
      <c r="F1025" s="79"/>
      <c r="G1025" s="164"/>
      <c r="H1025" s="165">
        <f t="shared" si="1"/>
        <v>362243.91</v>
      </c>
      <c r="I1025" s="76"/>
      <c r="J1025" s="76"/>
      <c r="K1025" s="76"/>
      <c r="L1025" s="76"/>
      <c r="M1025" s="76"/>
      <c r="N1025" s="76"/>
      <c r="O1025" s="76"/>
      <c r="P1025" s="76"/>
      <c r="Q1025" s="76"/>
      <c r="R1025" s="76"/>
      <c r="S1025" s="76"/>
    </row>
    <row r="1026">
      <c r="A1026" s="159"/>
      <c r="B1026" s="160"/>
      <c r="C1026" s="161"/>
      <c r="D1026" s="162"/>
      <c r="E1026" s="163"/>
      <c r="F1026" s="79"/>
      <c r="G1026" s="164"/>
      <c r="H1026" s="165">
        <f t="shared" si="1"/>
        <v>362243.91</v>
      </c>
      <c r="I1026" s="76"/>
      <c r="J1026" s="76"/>
      <c r="K1026" s="76"/>
      <c r="L1026" s="76"/>
      <c r="M1026" s="76"/>
      <c r="N1026" s="76"/>
      <c r="O1026" s="76"/>
      <c r="P1026" s="76"/>
      <c r="Q1026" s="76"/>
      <c r="R1026" s="76"/>
      <c r="S1026" s="76"/>
    </row>
    <row r="1027">
      <c r="A1027" s="159"/>
      <c r="B1027" s="160"/>
      <c r="C1027" s="161"/>
      <c r="D1027" s="162"/>
      <c r="E1027" s="163"/>
      <c r="F1027" s="79"/>
      <c r="G1027" s="164"/>
      <c r="H1027" s="165">
        <f t="shared" si="1"/>
        <v>362243.91</v>
      </c>
      <c r="I1027" s="76"/>
      <c r="J1027" s="76"/>
      <c r="K1027" s="76"/>
      <c r="L1027" s="76"/>
      <c r="M1027" s="76"/>
      <c r="N1027" s="76"/>
      <c r="O1027" s="76"/>
      <c r="P1027" s="76"/>
      <c r="Q1027" s="76"/>
      <c r="R1027" s="76"/>
      <c r="S1027" s="76"/>
    </row>
    <row r="1028">
      <c r="A1028" s="159"/>
      <c r="B1028" s="160"/>
      <c r="C1028" s="161"/>
      <c r="D1028" s="162"/>
      <c r="E1028" s="163"/>
      <c r="F1028" s="79"/>
      <c r="G1028" s="164"/>
      <c r="H1028" s="165">
        <f t="shared" si="1"/>
        <v>362243.91</v>
      </c>
      <c r="I1028" s="76"/>
      <c r="J1028" s="76"/>
      <c r="K1028" s="76"/>
      <c r="L1028" s="76"/>
      <c r="M1028" s="76"/>
      <c r="N1028" s="76"/>
      <c r="O1028" s="76"/>
      <c r="P1028" s="76"/>
      <c r="Q1028" s="76"/>
      <c r="R1028" s="76"/>
      <c r="S1028" s="76"/>
    </row>
    <row r="1029">
      <c r="A1029" s="159"/>
      <c r="B1029" s="160"/>
      <c r="C1029" s="161"/>
      <c r="D1029" s="162"/>
      <c r="E1029" s="163"/>
      <c r="F1029" s="79"/>
      <c r="G1029" s="164"/>
      <c r="H1029" s="165">
        <f t="shared" si="1"/>
        <v>362243.91</v>
      </c>
      <c r="I1029" s="76"/>
      <c r="J1029" s="76"/>
      <c r="K1029" s="76"/>
      <c r="L1029" s="76"/>
      <c r="M1029" s="76"/>
      <c r="N1029" s="76"/>
      <c r="O1029" s="76"/>
      <c r="P1029" s="76"/>
      <c r="Q1029" s="76"/>
      <c r="R1029" s="76"/>
      <c r="S1029" s="76"/>
    </row>
    <row r="1030">
      <c r="A1030" s="159"/>
      <c r="B1030" s="160"/>
      <c r="C1030" s="161"/>
      <c r="D1030" s="162"/>
      <c r="E1030" s="163"/>
      <c r="F1030" s="79"/>
      <c r="G1030" s="164"/>
      <c r="H1030" s="165">
        <f t="shared" si="1"/>
        <v>362243.91</v>
      </c>
      <c r="I1030" s="76"/>
      <c r="J1030" s="76"/>
      <c r="K1030" s="76"/>
      <c r="L1030" s="76"/>
      <c r="M1030" s="76"/>
      <c r="N1030" s="76"/>
      <c r="O1030" s="76"/>
      <c r="P1030" s="76"/>
      <c r="Q1030" s="76"/>
      <c r="R1030" s="76"/>
      <c r="S1030" s="76"/>
    </row>
    <row r="1031">
      <c r="A1031" s="159"/>
      <c r="B1031" s="160"/>
      <c r="C1031" s="161"/>
      <c r="D1031" s="162"/>
      <c r="E1031" s="163"/>
      <c r="F1031" s="79"/>
      <c r="G1031" s="164"/>
      <c r="H1031" s="165">
        <f t="shared" si="1"/>
        <v>362243.91</v>
      </c>
      <c r="I1031" s="76"/>
      <c r="J1031" s="76"/>
      <c r="K1031" s="76"/>
      <c r="L1031" s="76"/>
      <c r="M1031" s="76"/>
      <c r="N1031" s="76"/>
      <c r="O1031" s="76"/>
      <c r="P1031" s="76"/>
      <c r="Q1031" s="76"/>
      <c r="R1031" s="76"/>
      <c r="S1031" s="76"/>
    </row>
    <row r="1032">
      <c r="A1032" s="159"/>
      <c r="B1032" s="160"/>
      <c r="C1032" s="161"/>
      <c r="D1032" s="162"/>
      <c r="E1032" s="163"/>
      <c r="F1032" s="79"/>
      <c r="G1032" s="164"/>
      <c r="H1032" s="165">
        <f t="shared" si="1"/>
        <v>362243.91</v>
      </c>
      <c r="I1032" s="76"/>
      <c r="J1032" s="76"/>
      <c r="K1032" s="76"/>
      <c r="L1032" s="76"/>
      <c r="M1032" s="76"/>
      <c r="N1032" s="76"/>
      <c r="O1032" s="76"/>
      <c r="P1032" s="76"/>
      <c r="Q1032" s="76"/>
      <c r="R1032" s="76"/>
      <c r="S1032" s="76"/>
    </row>
    <row r="1033">
      <c r="A1033" s="159"/>
      <c r="B1033" s="160"/>
      <c r="C1033" s="161"/>
      <c r="D1033" s="162"/>
      <c r="E1033" s="163"/>
      <c r="F1033" s="79"/>
      <c r="G1033" s="164"/>
      <c r="H1033" s="165">
        <f t="shared" si="1"/>
        <v>362243.91</v>
      </c>
      <c r="I1033" s="76"/>
      <c r="J1033" s="76"/>
      <c r="K1033" s="76"/>
      <c r="L1033" s="76"/>
      <c r="M1033" s="76"/>
      <c r="N1033" s="76"/>
      <c r="O1033" s="76"/>
      <c r="P1033" s="76"/>
      <c r="Q1033" s="76"/>
      <c r="R1033" s="76"/>
      <c r="S1033" s="76"/>
    </row>
    <row r="1034">
      <c r="A1034" s="159"/>
      <c r="B1034" s="160"/>
      <c r="C1034" s="161"/>
      <c r="D1034" s="162"/>
      <c r="E1034" s="163"/>
      <c r="F1034" s="79"/>
      <c r="G1034" s="164"/>
      <c r="H1034" s="165">
        <f t="shared" si="1"/>
        <v>362243.91</v>
      </c>
      <c r="I1034" s="76"/>
      <c r="J1034" s="76"/>
      <c r="K1034" s="76"/>
      <c r="L1034" s="76"/>
      <c r="M1034" s="76"/>
      <c r="N1034" s="76"/>
      <c r="O1034" s="76"/>
      <c r="P1034" s="76"/>
      <c r="Q1034" s="76"/>
      <c r="R1034" s="76"/>
      <c r="S1034" s="76"/>
    </row>
    <row r="1035">
      <c r="A1035" s="159"/>
      <c r="B1035" s="160"/>
      <c r="C1035" s="161"/>
      <c r="D1035" s="162"/>
      <c r="E1035" s="163"/>
      <c r="F1035" s="79"/>
      <c r="G1035" s="164"/>
      <c r="H1035" s="165">
        <f t="shared" si="1"/>
        <v>362243.91</v>
      </c>
      <c r="I1035" s="76"/>
      <c r="J1035" s="76"/>
      <c r="K1035" s="76"/>
      <c r="L1035" s="76"/>
      <c r="M1035" s="76"/>
      <c r="N1035" s="76"/>
      <c r="O1035" s="76"/>
      <c r="P1035" s="76"/>
      <c r="Q1035" s="76"/>
      <c r="R1035" s="76"/>
      <c r="S1035" s="76"/>
    </row>
    <row r="1036">
      <c r="A1036" s="159"/>
      <c r="B1036" s="160"/>
      <c r="C1036" s="161"/>
      <c r="D1036" s="162"/>
      <c r="E1036" s="163"/>
      <c r="F1036" s="79"/>
      <c r="G1036" s="164"/>
      <c r="H1036" s="165">
        <f t="shared" si="1"/>
        <v>362243.91</v>
      </c>
      <c r="I1036" s="76"/>
      <c r="J1036" s="76"/>
      <c r="K1036" s="76"/>
      <c r="L1036" s="76"/>
      <c r="M1036" s="76"/>
      <c r="N1036" s="76"/>
      <c r="O1036" s="76"/>
      <c r="P1036" s="76"/>
      <c r="Q1036" s="76"/>
      <c r="R1036" s="76"/>
      <c r="S1036" s="76"/>
    </row>
    <row r="1037">
      <c r="A1037" s="159"/>
      <c r="B1037" s="160"/>
      <c r="C1037" s="161"/>
      <c r="D1037" s="162"/>
      <c r="E1037" s="163"/>
      <c r="F1037" s="79"/>
      <c r="G1037" s="164"/>
      <c r="H1037" s="165">
        <f t="shared" si="1"/>
        <v>362243.91</v>
      </c>
      <c r="I1037" s="76"/>
      <c r="J1037" s="76"/>
      <c r="K1037" s="76"/>
      <c r="L1037" s="76"/>
      <c r="M1037" s="76"/>
      <c r="N1037" s="76"/>
      <c r="O1037" s="76"/>
      <c r="P1037" s="76"/>
      <c r="Q1037" s="76"/>
      <c r="R1037" s="76"/>
      <c r="S1037" s="76"/>
    </row>
    <row r="1038">
      <c r="A1038" s="159"/>
      <c r="B1038" s="160"/>
      <c r="C1038" s="161"/>
      <c r="D1038" s="162"/>
      <c r="E1038" s="163"/>
      <c r="F1038" s="79"/>
      <c r="G1038" s="164"/>
      <c r="H1038" s="165">
        <f t="shared" si="1"/>
        <v>362243.91</v>
      </c>
      <c r="I1038" s="76"/>
      <c r="J1038" s="76"/>
      <c r="K1038" s="76"/>
      <c r="L1038" s="76"/>
      <c r="M1038" s="76"/>
      <c r="N1038" s="76"/>
      <c r="O1038" s="76"/>
      <c r="P1038" s="76"/>
      <c r="Q1038" s="76"/>
      <c r="R1038" s="76"/>
      <c r="S1038" s="76"/>
    </row>
    <row r="1039">
      <c r="A1039" s="159"/>
      <c r="B1039" s="160"/>
      <c r="C1039" s="161"/>
      <c r="D1039" s="162"/>
      <c r="E1039" s="163"/>
      <c r="F1039" s="79"/>
      <c r="G1039" s="164"/>
      <c r="H1039" s="165">
        <f t="shared" si="1"/>
        <v>362243.91</v>
      </c>
      <c r="I1039" s="76"/>
      <c r="J1039" s="76"/>
      <c r="K1039" s="76"/>
      <c r="L1039" s="76"/>
      <c r="M1039" s="76"/>
      <c r="N1039" s="76"/>
      <c r="O1039" s="76"/>
      <c r="P1039" s="76"/>
      <c r="Q1039" s="76"/>
      <c r="R1039" s="76"/>
      <c r="S1039" s="76"/>
    </row>
    <row r="1040">
      <c r="A1040" s="159"/>
      <c r="B1040" s="160"/>
      <c r="C1040" s="161"/>
      <c r="D1040" s="162"/>
      <c r="E1040" s="163"/>
      <c r="F1040" s="79"/>
      <c r="G1040" s="164"/>
      <c r="H1040" s="165">
        <f t="shared" si="1"/>
        <v>362243.91</v>
      </c>
      <c r="I1040" s="76"/>
      <c r="J1040" s="76"/>
      <c r="K1040" s="76"/>
      <c r="L1040" s="76"/>
      <c r="M1040" s="76"/>
      <c r="N1040" s="76"/>
      <c r="O1040" s="76"/>
      <c r="P1040" s="76"/>
      <c r="Q1040" s="76"/>
      <c r="R1040" s="76"/>
      <c r="S1040" s="76"/>
    </row>
    <row r="1041">
      <c r="A1041" s="159"/>
      <c r="B1041" s="160"/>
      <c r="C1041" s="161"/>
      <c r="D1041" s="162"/>
      <c r="E1041" s="163"/>
      <c r="F1041" s="79"/>
      <c r="G1041" s="164"/>
      <c r="H1041" s="165">
        <f t="shared" si="1"/>
        <v>362243.91</v>
      </c>
      <c r="I1041" s="76"/>
      <c r="J1041" s="76"/>
      <c r="K1041" s="76"/>
      <c r="L1041" s="76"/>
      <c r="M1041" s="76"/>
      <c r="N1041" s="76"/>
      <c r="O1041" s="76"/>
      <c r="P1041" s="76"/>
      <c r="Q1041" s="76"/>
      <c r="R1041" s="76"/>
      <c r="S1041" s="76"/>
    </row>
    <row r="1042">
      <c r="A1042" s="159"/>
      <c r="B1042" s="160"/>
      <c r="C1042" s="161"/>
      <c r="D1042" s="162"/>
      <c r="E1042" s="163"/>
      <c r="F1042" s="79"/>
      <c r="G1042" s="164"/>
      <c r="H1042" s="165">
        <f t="shared" si="1"/>
        <v>362243.91</v>
      </c>
      <c r="I1042" s="76"/>
      <c r="J1042" s="76"/>
      <c r="K1042" s="76"/>
      <c r="L1042" s="76"/>
      <c r="M1042" s="76"/>
      <c r="N1042" s="76"/>
      <c r="O1042" s="76"/>
      <c r="P1042" s="76"/>
      <c r="Q1042" s="76"/>
      <c r="R1042" s="76"/>
      <c r="S1042" s="76"/>
    </row>
    <row r="1043">
      <c r="A1043" s="159"/>
      <c r="B1043" s="160"/>
      <c r="C1043" s="161"/>
      <c r="D1043" s="162"/>
      <c r="E1043" s="163"/>
      <c r="F1043" s="79"/>
      <c r="G1043" s="164"/>
      <c r="H1043" s="165">
        <f t="shared" si="1"/>
        <v>362243.91</v>
      </c>
      <c r="I1043" s="76"/>
      <c r="J1043" s="76"/>
      <c r="K1043" s="76"/>
      <c r="L1043" s="76"/>
      <c r="M1043" s="76"/>
      <c r="N1043" s="76"/>
      <c r="O1043" s="76"/>
      <c r="P1043" s="76"/>
      <c r="Q1043" s="76"/>
      <c r="R1043" s="76"/>
      <c r="S1043" s="76"/>
    </row>
    <row r="1044">
      <c r="A1044" s="159"/>
      <c r="B1044" s="160"/>
      <c r="C1044" s="161"/>
      <c r="D1044" s="162"/>
      <c r="E1044" s="163"/>
      <c r="F1044" s="79"/>
      <c r="G1044" s="164"/>
      <c r="H1044" s="165">
        <f t="shared" si="1"/>
        <v>362243.91</v>
      </c>
      <c r="I1044" s="76"/>
      <c r="J1044" s="76"/>
      <c r="K1044" s="76"/>
      <c r="L1044" s="76"/>
      <c r="M1044" s="76"/>
      <c r="N1044" s="76"/>
      <c r="O1044" s="76"/>
      <c r="P1044" s="76"/>
      <c r="Q1044" s="76"/>
      <c r="R1044" s="76"/>
      <c r="S1044" s="76"/>
    </row>
    <row r="1045">
      <c r="A1045" s="159"/>
      <c r="B1045" s="160"/>
      <c r="C1045" s="161"/>
      <c r="D1045" s="162"/>
      <c r="E1045" s="163"/>
      <c r="F1045" s="79"/>
      <c r="G1045" s="164"/>
      <c r="H1045" s="165">
        <f t="shared" si="1"/>
        <v>362243.91</v>
      </c>
      <c r="I1045" s="76"/>
      <c r="J1045" s="76"/>
      <c r="K1045" s="76"/>
      <c r="L1045" s="76"/>
      <c r="M1045" s="76"/>
      <c r="N1045" s="76"/>
      <c r="O1045" s="76"/>
      <c r="P1045" s="76"/>
      <c r="Q1045" s="76"/>
      <c r="R1045" s="76"/>
      <c r="S1045" s="76"/>
    </row>
    <row r="1046">
      <c r="A1046" s="159"/>
      <c r="B1046" s="160"/>
      <c r="C1046" s="161"/>
      <c r="D1046" s="162"/>
      <c r="E1046" s="163"/>
      <c r="F1046" s="79"/>
      <c r="G1046" s="164"/>
      <c r="H1046" s="165">
        <f t="shared" si="1"/>
        <v>362243.91</v>
      </c>
      <c r="I1046" s="76"/>
      <c r="J1046" s="76"/>
      <c r="K1046" s="76"/>
      <c r="L1046" s="76"/>
      <c r="M1046" s="76"/>
      <c r="N1046" s="76"/>
      <c r="O1046" s="76"/>
      <c r="P1046" s="76"/>
      <c r="Q1046" s="76"/>
      <c r="R1046" s="76"/>
      <c r="S1046" s="76"/>
    </row>
    <row r="1047">
      <c r="A1047" s="159"/>
      <c r="B1047" s="160"/>
      <c r="C1047" s="161"/>
      <c r="D1047" s="162"/>
      <c r="E1047" s="163"/>
      <c r="F1047" s="79"/>
      <c r="G1047" s="164"/>
      <c r="H1047" s="165">
        <f t="shared" si="1"/>
        <v>362243.91</v>
      </c>
      <c r="I1047" s="76"/>
      <c r="J1047" s="76"/>
      <c r="K1047" s="76"/>
      <c r="L1047" s="76"/>
      <c r="M1047" s="76"/>
      <c r="N1047" s="76"/>
      <c r="O1047" s="76"/>
      <c r="P1047" s="76"/>
      <c r="Q1047" s="76"/>
      <c r="R1047" s="76"/>
      <c r="S1047" s="76"/>
    </row>
    <row r="1048">
      <c r="A1048" s="159"/>
      <c r="B1048" s="160"/>
      <c r="C1048" s="161"/>
      <c r="D1048" s="162"/>
      <c r="E1048" s="163"/>
      <c r="F1048" s="79"/>
      <c r="G1048" s="164"/>
      <c r="H1048" s="165">
        <f t="shared" si="1"/>
        <v>362243.91</v>
      </c>
      <c r="I1048" s="76"/>
      <c r="J1048" s="76"/>
      <c r="K1048" s="76"/>
      <c r="L1048" s="76"/>
      <c r="M1048" s="76"/>
      <c r="N1048" s="76"/>
      <c r="O1048" s="76"/>
      <c r="P1048" s="76"/>
      <c r="Q1048" s="76"/>
      <c r="R1048" s="76"/>
      <c r="S1048" s="76"/>
    </row>
    <row r="1049">
      <c r="A1049" s="159"/>
      <c r="B1049" s="160"/>
      <c r="C1049" s="161"/>
      <c r="D1049" s="162"/>
      <c r="E1049" s="163"/>
      <c r="F1049" s="79"/>
      <c r="G1049" s="164"/>
      <c r="H1049" s="165">
        <f t="shared" si="1"/>
        <v>362243.91</v>
      </c>
      <c r="I1049" s="76"/>
      <c r="J1049" s="76"/>
      <c r="K1049" s="76"/>
      <c r="L1049" s="76"/>
      <c r="M1049" s="76"/>
      <c r="N1049" s="76"/>
      <c r="O1049" s="76"/>
      <c r="P1049" s="76"/>
      <c r="Q1049" s="76"/>
      <c r="R1049" s="76"/>
      <c r="S1049" s="76"/>
    </row>
    <row r="1050">
      <c r="A1050" s="159"/>
      <c r="B1050" s="160"/>
      <c r="C1050" s="161"/>
      <c r="D1050" s="162"/>
      <c r="E1050" s="163"/>
      <c r="F1050" s="79"/>
      <c r="G1050" s="164"/>
      <c r="H1050" s="165">
        <f t="shared" si="1"/>
        <v>362243.91</v>
      </c>
      <c r="I1050" s="76"/>
      <c r="J1050" s="76"/>
      <c r="K1050" s="76"/>
      <c r="L1050" s="76"/>
      <c r="M1050" s="76"/>
      <c r="N1050" s="76"/>
      <c r="O1050" s="76"/>
      <c r="P1050" s="76"/>
      <c r="Q1050" s="76"/>
      <c r="R1050" s="76"/>
      <c r="S1050" s="76"/>
    </row>
    <row r="1051">
      <c r="A1051" s="159"/>
      <c r="B1051" s="160"/>
      <c r="C1051" s="161"/>
      <c r="D1051" s="162"/>
      <c r="E1051" s="163"/>
      <c r="F1051" s="79"/>
      <c r="G1051" s="164"/>
      <c r="H1051" s="165">
        <f t="shared" si="1"/>
        <v>362243.91</v>
      </c>
      <c r="I1051" s="76"/>
      <c r="J1051" s="76"/>
      <c r="K1051" s="76"/>
      <c r="L1051" s="76"/>
      <c r="M1051" s="76"/>
      <c r="N1051" s="76"/>
      <c r="O1051" s="76"/>
      <c r="P1051" s="76"/>
      <c r="Q1051" s="76"/>
      <c r="R1051" s="76"/>
      <c r="S1051" s="76"/>
    </row>
    <row r="1052">
      <c r="A1052" s="159"/>
      <c r="B1052" s="160"/>
      <c r="C1052" s="161"/>
      <c r="D1052" s="162"/>
      <c r="E1052" s="163"/>
      <c r="F1052" s="79"/>
      <c r="G1052" s="164"/>
      <c r="H1052" s="165">
        <f t="shared" si="1"/>
        <v>362243.91</v>
      </c>
      <c r="I1052" s="76"/>
      <c r="J1052" s="76"/>
      <c r="K1052" s="76"/>
      <c r="L1052" s="76"/>
      <c r="M1052" s="76"/>
      <c r="N1052" s="76"/>
      <c r="O1052" s="76"/>
      <c r="P1052" s="76"/>
      <c r="Q1052" s="76"/>
      <c r="R1052" s="76"/>
      <c r="S1052" s="76"/>
    </row>
    <row r="1053">
      <c r="A1053" s="159"/>
      <c r="B1053" s="160"/>
      <c r="C1053" s="161"/>
      <c r="D1053" s="162"/>
      <c r="E1053" s="163"/>
      <c r="F1053" s="79"/>
      <c r="G1053" s="164"/>
      <c r="H1053" s="165">
        <f t="shared" si="1"/>
        <v>362243.91</v>
      </c>
      <c r="I1053" s="76"/>
      <c r="J1053" s="76"/>
      <c r="K1053" s="76"/>
      <c r="L1053" s="76"/>
      <c r="M1053" s="76"/>
      <c r="N1053" s="76"/>
      <c r="O1053" s="76"/>
      <c r="P1053" s="76"/>
      <c r="Q1053" s="76"/>
      <c r="R1053" s="76"/>
      <c r="S1053" s="76"/>
    </row>
    <row r="1054">
      <c r="A1054" s="159"/>
      <c r="B1054" s="160"/>
      <c r="C1054" s="161"/>
      <c r="D1054" s="162"/>
      <c r="E1054" s="163"/>
      <c r="F1054" s="79"/>
      <c r="G1054" s="164"/>
      <c r="H1054" s="165">
        <f t="shared" si="1"/>
        <v>362243.91</v>
      </c>
      <c r="I1054" s="76"/>
      <c r="J1054" s="76"/>
      <c r="K1054" s="76"/>
      <c r="L1054" s="76"/>
      <c r="M1054" s="76"/>
      <c r="N1054" s="76"/>
      <c r="O1054" s="76"/>
      <c r="P1054" s="76"/>
      <c r="Q1054" s="76"/>
      <c r="R1054" s="76"/>
      <c r="S1054" s="76"/>
    </row>
    <row r="1055">
      <c r="A1055" s="159"/>
      <c r="B1055" s="160"/>
      <c r="C1055" s="161"/>
      <c r="D1055" s="162"/>
      <c r="E1055" s="163"/>
      <c r="F1055" s="79"/>
      <c r="G1055" s="164"/>
      <c r="H1055" s="165">
        <f t="shared" si="1"/>
        <v>362243.91</v>
      </c>
      <c r="I1055" s="76"/>
      <c r="J1055" s="76"/>
      <c r="K1055" s="76"/>
      <c r="L1055" s="76"/>
      <c r="M1055" s="76"/>
      <c r="N1055" s="76"/>
      <c r="O1055" s="76"/>
      <c r="P1055" s="76"/>
      <c r="Q1055" s="76"/>
      <c r="R1055" s="76"/>
      <c r="S1055" s="76"/>
    </row>
    <row r="1056">
      <c r="A1056" s="159"/>
      <c r="B1056" s="160"/>
      <c r="C1056" s="161"/>
      <c r="D1056" s="162"/>
      <c r="E1056" s="163"/>
      <c r="F1056" s="79"/>
      <c r="G1056" s="164"/>
      <c r="H1056" s="165">
        <f t="shared" si="1"/>
        <v>362243.91</v>
      </c>
      <c r="I1056" s="76"/>
      <c r="J1056" s="76"/>
      <c r="K1056" s="76"/>
      <c r="L1056" s="76"/>
      <c r="M1056" s="76"/>
      <c r="N1056" s="76"/>
      <c r="O1056" s="76"/>
      <c r="P1056" s="76"/>
      <c r="Q1056" s="76"/>
      <c r="R1056" s="76"/>
      <c r="S1056" s="76"/>
    </row>
    <row r="1057">
      <c r="A1057" s="159"/>
      <c r="B1057" s="160"/>
      <c r="C1057" s="161"/>
      <c r="D1057" s="162"/>
      <c r="E1057" s="163"/>
      <c r="F1057" s="79"/>
      <c r="G1057" s="164"/>
      <c r="H1057" s="165">
        <f t="shared" si="1"/>
        <v>362243.91</v>
      </c>
      <c r="I1057" s="76"/>
      <c r="J1057" s="76"/>
      <c r="K1057" s="76"/>
      <c r="L1057" s="76"/>
      <c r="M1057" s="76"/>
      <c r="N1057" s="76"/>
      <c r="O1057" s="76"/>
      <c r="P1057" s="76"/>
      <c r="Q1057" s="76"/>
      <c r="R1057" s="76"/>
      <c r="S1057" s="76"/>
    </row>
    <row r="1058">
      <c r="A1058" s="159"/>
      <c r="B1058" s="160"/>
      <c r="C1058" s="161"/>
      <c r="D1058" s="162"/>
      <c r="E1058" s="163"/>
      <c r="F1058" s="79"/>
      <c r="G1058" s="164"/>
      <c r="H1058" s="165">
        <f t="shared" si="1"/>
        <v>362243.91</v>
      </c>
      <c r="I1058" s="76"/>
      <c r="J1058" s="76"/>
      <c r="K1058" s="76"/>
      <c r="L1058" s="76"/>
      <c r="M1058" s="76"/>
      <c r="N1058" s="76"/>
      <c r="O1058" s="76"/>
      <c r="P1058" s="76"/>
      <c r="Q1058" s="76"/>
      <c r="R1058" s="76"/>
      <c r="S1058" s="76"/>
    </row>
    <row r="1059">
      <c r="A1059" s="159"/>
      <c r="B1059" s="160"/>
      <c r="C1059" s="161"/>
      <c r="D1059" s="162"/>
      <c r="E1059" s="163"/>
      <c r="F1059" s="79"/>
      <c r="G1059" s="164"/>
      <c r="H1059" s="165">
        <f t="shared" si="1"/>
        <v>362243.91</v>
      </c>
      <c r="I1059" s="76"/>
      <c r="J1059" s="76"/>
      <c r="K1059" s="76"/>
      <c r="L1059" s="76"/>
      <c r="M1059" s="76"/>
      <c r="N1059" s="76"/>
      <c r="O1059" s="76"/>
      <c r="P1059" s="76"/>
      <c r="Q1059" s="76"/>
      <c r="R1059" s="76"/>
      <c r="S1059" s="76"/>
    </row>
    <row r="1060">
      <c r="A1060" s="159"/>
      <c r="B1060" s="160"/>
      <c r="C1060" s="161"/>
      <c r="D1060" s="162"/>
      <c r="E1060" s="163"/>
      <c r="F1060" s="79"/>
      <c r="G1060" s="164"/>
      <c r="H1060" s="165">
        <f t="shared" si="1"/>
        <v>362243.91</v>
      </c>
      <c r="I1060" s="76"/>
      <c r="J1060" s="76"/>
      <c r="K1060" s="76"/>
      <c r="L1060" s="76"/>
      <c r="M1060" s="76"/>
      <c r="N1060" s="76"/>
      <c r="O1060" s="76"/>
      <c r="P1060" s="76"/>
      <c r="Q1060" s="76"/>
      <c r="R1060" s="76"/>
      <c r="S1060" s="76"/>
    </row>
    <row r="1061">
      <c r="A1061" s="159"/>
      <c r="B1061" s="160"/>
      <c r="C1061" s="161"/>
      <c r="D1061" s="162"/>
      <c r="E1061" s="163"/>
      <c r="F1061" s="79"/>
      <c r="G1061" s="164"/>
      <c r="H1061" s="165">
        <f t="shared" si="1"/>
        <v>362243.91</v>
      </c>
      <c r="I1061" s="76"/>
      <c r="J1061" s="76"/>
      <c r="K1061" s="76"/>
      <c r="L1061" s="76"/>
      <c r="M1061" s="76"/>
      <c r="N1061" s="76"/>
      <c r="O1061" s="76"/>
      <c r="P1061" s="76"/>
      <c r="Q1061" s="76"/>
      <c r="R1061" s="76"/>
      <c r="S1061" s="76"/>
    </row>
    <row r="1062">
      <c r="A1062" s="159"/>
      <c r="B1062" s="160"/>
      <c r="C1062" s="161"/>
      <c r="D1062" s="162"/>
      <c r="E1062" s="163"/>
      <c r="F1062" s="79"/>
      <c r="G1062" s="164"/>
      <c r="H1062" s="165">
        <f t="shared" si="1"/>
        <v>362243.91</v>
      </c>
      <c r="I1062" s="76"/>
      <c r="J1062" s="76"/>
      <c r="K1062" s="76"/>
      <c r="L1062" s="76"/>
      <c r="M1062" s="76"/>
      <c r="N1062" s="76"/>
      <c r="O1062" s="76"/>
      <c r="P1062" s="76"/>
      <c r="Q1062" s="76"/>
      <c r="R1062" s="76"/>
      <c r="S1062" s="76"/>
    </row>
    <row r="1063">
      <c r="A1063" s="159"/>
      <c r="B1063" s="160"/>
      <c r="C1063" s="161"/>
      <c r="D1063" s="162"/>
      <c r="E1063" s="163"/>
      <c r="F1063" s="79"/>
      <c r="G1063" s="164"/>
      <c r="H1063" s="165">
        <f t="shared" si="1"/>
        <v>362243.91</v>
      </c>
      <c r="I1063" s="76"/>
      <c r="J1063" s="76"/>
      <c r="K1063" s="76"/>
      <c r="L1063" s="76"/>
      <c r="M1063" s="76"/>
      <c r="N1063" s="76"/>
      <c r="O1063" s="76"/>
      <c r="P1063" s="76"/>
      <c r="Q1063" s="76"/>
      <c r="R1063" s="76"/>
      <c r="S1063" s="76"/>
    </row>
    <row r="1064">
      <c r="A1064" s="159"/>
      <c r="B1064" s="160"/>
      <c r="C1064" s="161"/>
      <c r="D1064" s="162"/>
      <c r="E1064" s="163"/>
      <c r="F1064" s="79"/>
      <c r="G1064" s="164"/>
      <c r="H1064" s="165">
        <f t="shared" si="1"/>
        <v>362243.91</v>
      </c>
      <c r="I1064" s="76"/>
      <c r="J1064" s="76"/>
      <c r="K1064" s="76"/>
      <c r="L1064" s="76"/>
      <c r="M1064" s="76"/>
      <c r="N1064" s="76"/>
      <c r="O1064" s="76"/>
      <c r="P1064" s="76"/>
      <c r="Q1064" s="76"/>
      <c r="R1064" s="76"/>
      <c r="S1064" s="76"/>
    </row>
    <row r="1065">
      <c r="A1065" s="159"/>
      <c r="B1065" s="160"/>
      <c r="C1065" s="161"/>
      <c r="D1065" s="162"/>
      <c r="E1065" s="163"/>
      <c r="F1065" s="79"/>
      <c r="G1065" s="164"/>
      <c r="H1065" s="165">
        <f t="shared" si="1"/>
        <v>362243.91</v>
      </c>
      <c r="I1065" s="76"/>
      <c r="J1065" s="76"/>
      <c r="K1065" s="76"/>
      <c r="L1065" s="76"/>
      <c r="M1065" s="76"/>
      <c r="N1065" s="76"/>
      <c r="O1065" s="76"/>
      <c r="P1065" s="76"/>
      <c r="Q1065" s="76"/>
      <c r="R1065" s="76"/>
      <c r="S1065" s="76"/>
    </row>
    <row r="1066">
      <c r="A1066" s="159"/>
      <c r="B1066" s="160"/>
      <c r="C1066" s="161"/>
      <c r="D1066" s="162"/>
      <c r="E1066" s="163"/>
      <c r="F1066" s="79"/>
      <c r="G1066" s="164"/>
      <c r="H1066" s="165">
        <f t="shared" si="1"/>
        <v>362243.91</v>
      </c>
      <c r="I1066" s="76"/>
      <c r="J1066" s="76"/>
      <c r="K1066" s="76"/>
      <c r="L1066" s="76"/>
      <c r="M1066" s="76"/>
      <c r="N1066" s="76"/>
      <c r="O1066" s="76"/>
      <c r="P1066" s="76"/>
      <c r="Q1066" s="76"/>
      <c r="R1066" s="76"/>
      <c r="S1066" s="76"/>
    </row>
    <row r="1067">
      <c r="A1067" s="159"/>
      <c r="B1067" s="160"/>
      <c r="C1067" s="161"/>
      <c r="D1067" s="162"/>
      <c r="E1067" s="163"/>
      <c r="F1067" s="79"/>
      <c r="G1067" s="164"/>
      <c r="H1067" s="165">
        <f t="shared" si="1"/>
        <v>362243.91</v>
      </c>
      <c r="I1067" s="76"/>
      <c r="J1067" s="76"/>
      <c r="K1067" s="76"/>
      <c r="L1067" s="76"/>
      <c r="M1067" s="76"/>
      <c r="N1067" s="76"/>
      <c r="O1067" s="76"/>
      <c r="P1067" s="76"/>
      <c r="Q1067" s="76"/>
      <c r="R1067" s="76"/>
      <c r="S1067" s="76"/>
    </row>
    <row r="1068">
      <c r="A1068" s="159"/>
      <c r="B1068" s="160"/>
      <c r="C1068" s="161"/>
      <c r="D1068" s="162"/>
      <c r="E1068" s="163"/>
      <c r="F1068" s="79"/>
      <c r="G1068" s="164"/>
      <c r="H1068" s="165">
        <f t="shared" si="1"/>
        <v>362243.91</v>
      </c>
      <c r="I1068" s="76"/>
      <c r="J1068" s="76"/>
      <c r="K1068" s="76"/>
      <c r="L1068" s="76"/>
      <c r="M1068" s="76"/>
      <c r="N1068" s="76"/>
      <c r="O1068" s="76"/>
      <c r="P1068" s="76"/>
      <c r="Q1068" s="76"/>
      <c r="R1068" s="76"/>
      <c r="S1068" s="76"/>
    </row>
    <row r="1069">
      <c r="A1069" s="159"/>
      <c r="B1069" s="160"/>
      <c r="C1069" s="161"/>
      <c r="D1069" s="162"/>
      <c r="E1069" s="163"/>
      <c r="F1069" s="79"/>
      <c r="G1069" s="164"/>
      <c r="H1069" s="165">
        <f t="shared" si="1"/>
        <v>362243.91</v>
      </c>
      <c r="I1069" s="76"/>
      <c r="J1069" s="76"/>
      <c r="K1069" s="76"/>
      <c r="L1069" s="76"/>
      <c r="M1069" s="76"/>
      <c r="N1069" s="76"/>
      <c r="O1069" s="76"/>
      <c r="P1069" s="76"/>
      <c r="Q1069" s="76"/>
      <c r="R1069" s="76"/>
      <c r="S1069" s="76"/>
    </row>
    <row r="1070">
      <c r="A1070" s="159"/>
      <c r="B1070" s="160"/>
      <c r="C1070" s="161"/>
      <c r="D1070" s="162"/>
      <c r="E1070" s="163"/>
      <c r="F1070" s="79"/>
      <c r="G1070" s="164"/>
      <c r="H1070" s="165">
        <f t="shared" si="1"/>
        <v>362243.91</v>
      </c>
      <c r="I1070" s="76"/>
      <c r="J1070" s="76"/>
      <c r="K1070" s="76"/>
      <c r="L1070" s="76"/>
      <c r="M1070" s="76"/>
      <c r="N1070" s="76"/>
      <c r="O1070" s="76"/>
      <c r="P1070" s="76"/>
      <c r="Q1070" s="76"/>
      <c r="R1070" s="76"/>
      <c r="S1070" s="76"/>
    </row>
    <row r="1071">
      <c r="A1071" s="159"/>
      <c r="B1071" s="160"/>
      <c r="C1071" s="161"/>
      <c r="D1071" s="162"/>
      <c r="E1071" s="163"/>
      <c r="F1071" s="79"/>
      <c r="G1071" s="164"/>
      <c r="H1071" s="165">
        <f t="shared" si="1"/>
        <v>362243.91</v>
      </c>
      <c r="I1071" s="76"/>
      <c r="J1071" s="76"/>
      <c r="K1071" s="76"/>
      <c r="L1071" s="76"/>
      <c r="M1071" s="76"/>
      <c r="N1071" s="76"/>
      <c r="O1071" s="76"/>
      <c r="P1071" s="76"/>
      <c r="Q1071" s="76"/>
      <c r="R1071" s="76"/>
      <c r="S1071" s="76"/>
    </row>
    <row r="1072">
      <c r="A1072" s="159"/>
      <c r="B1072" s="160"/>
      <c r="C1072" s="161"/>
      <c r="D1072" s="162"/>
      <c r="E1072" s="163"/>
      <c r="F1072" s="79"/>
      <c r="G1072" s="164"/>
      <c r="H1072" s="165">
        <f t="shared" si="1"/>
        <v>362243.91</v>
      </c>
      <c r="I1072" s="76"/>
      <c r="J1072" s="76"/>
      <c r="K1072" s="76"/>
      <c r="L1072" s="76"/>
      <c r="M1072" s="76"/>
      <c r="N1072" s="76"/>
      <c r="O1072" s="76"/>
      <c r="P1072" s="76"/>
      <c r="Q1072" s="76"/>
      <c r="R1072" s="76"/>
      <c r="S1072" s="76"/>
    </row>
    <row r="1073">
      <c r="A1073" s="159"/>
      <c r="B1073" s="160"/>
      <c r="C1073" s="161"/>
      <c r="D1073" s="162"/>
      <c r="E1073" s="163"/>
      <c r="F1073" s="79"/>
      <c r="G1073" s="164"/>
      <c r="H1073" s="165">
        <f t="shared" si="1"/>
        <v>362243.91</v>
      </c>
      <c r="I1073" s="76"/>
      <c r="J1073" s="76"/>
      <c r="K1073" s="76"/>
      <c r="L1073" s="76"/>
      <c r="M1073" s="76"/>
      <c r="N1073" s="76"/>
      <c r="O1073" s="76"/>
      <c r="P1073" s="76"/>
      <c r="Q1073" s="76"/>
      <c r="R1073" s="76"/>
      <c r="S1073" s="76"/>
    </row>
    <row r="1074">
      <c r="A1074" s="159"/>
      <c r="B1074" s="160"/>
      <c r="C1074" s="161"/>
      <c r="D1074" s="162"/>
      <c r="E1074" s="163"/>
      <c r="F1074" s="79"/>
      <c r="G1074" s="164"/>
      <c r="H1074" s="165">
        <f t="shared" si="1"/>
        <v>362243.91</v>
      </c>
      <c r="I1074" s="76"/>
      <c r="J1074" s="76"/>
      <c r="K1074" s="76"/>
      <c r="L1074" s="76"/>
      <c r="M1074" s="76"/>
      <c r="N1074" s="76"/>
      <c r="O1074" s="76"/>
      <c r="P1074" s="76"/>
      <c r="Q1074" s="76"/>
      <c r="R1074" s="76"/>
      <c r="S1074" s="76"/>
    </row>
    <row r="1075">
      <c r="A1075" s="159"/>
      <c r="B1075" s="160"/>
      <c r="C1075" s="161"/>
      <c r="D1075" s="162"/>
      <c r="E1075" s="163"/>
      <c r="F1075" s="79"/>
      <c r="G1075" s="164"/>
      <c r="H1075" s="165">
        <f t="shared" si="1"/>
        <v>362243.91</v>
      </c>
      <c r="I1075" s="76"/>
      <c r="J1075" s="76"/>
      <c r="K1075" s="76"/>
      <c r="L1075" s="76"/>
      <c r="M1075" s="76"/>
      <c r="N1075" s="76"/>
      <c r="O1075" s="76"/>
      <c r="P1075" s="76"/>
      <c r="Q1075" s="76"/>
      <c r="R1075" s="76"/>
      <c r="S1075" s="76"/>
    </row>
    <row r="1076">
      <c r="A1076" s="159"/>
      <c r="B1076" s="160"/>
      <c r="C1076" s="161"/>
      <c r="D1076" s="162"/>
      <c r="E1076" s="163"/>
      <c r="F1076" s="79"/>
      <c r="G1076" s="164"/>
      <c r="H1076" s="165">
        <f t="shared" si="1"/>
        <v>362243.91</v>
      </c>
      <c r="I1076" s="76"/>
      <c r="J1076" s="76"/>
      <c r="K1076" s="76"/>
      <c r="L1076" s="76"/>
      <c r="M1076" s="76"/>
      <c r="N1076" s="76"/>
      <c r="O1076" s="76"/>
      <c r="P1076" s="76"/>
      <c r="Q1076" s="76"/>
      <c r="R1076" s="76"/>
      <c r="S1076" s="76"/>
    </row>
    <row r="1077">
      <c r="A1077" s="159"/>
      <c r="B1077" s="160"/>
      <c r="C1077" s="161"/>
      <c r="D1077" s="162"/>
      <c r="E1077" s="163"/>
      <c r="F1077" s="79"/>
      <c r="G1077" s="164"/>
      <c r="H1077" s="165">
        <f t="shared" si="1"/>
        <v>362243.91</v>
      </c>
      <c r="I1077" s="76"/>
      <c r="J1077" s="76"/>
      <c r="K1077" s="76"/>
      <c r="L1077" s="76"/>
      <c r="M1077" s="76"/>
      <c r="N1077" s="76"/>
      <c r="O1077" s="76"/>
      <c r="P1077" s="76"/>
      <c r="Q1077" s="76"/>
      <c r="R1077" s="76"/>
      <c r="S1077" s="76"/>
    </row>
    <row r="1078">
      <c r="A1078" s="159"/>
      <c r="B1078" s="160"/>
      <c r="C1078" s="161"/>
      <c r="D1078" s="162"/>
      <c r="E1078" s="163"/>
      <c r="F1078" s="79"/>
      <c r="G1078" s="164"/>
      <c r="H1078" s="165">
        <f t="shared" si="1"/>
        <v>362243.91</v>
      </c>
      <c r="I1078" s="76"/>
      <c r="J1078" s="76"/>
      <c r="K1078" s="76"/>
      <c r="L1078" s="76"/>
      <c r="M1078" s="76"/>
      <c r="N1078" s="76"/>
      <c r="O1078" s="76"/>
      <c r="P1078" s="76"/>
      <c r="Q1078" s="76"/>
      <c r="R1078" s="76"/>
      <c r="S1078" s="76"/>
    </row>
    <row r="1079">
      <c r="A1079" s="159"/>
      <c r="B1079" s="160"/>
      <c r="C1079" s="161"/>
      <c r="D1079" s="162"/>
      <c r="E1079" s="163"/>
      <c r="F1079" s="79"/>
      <c r="G1079" s="164"/>
      <c r="H1079" s="165">
        <f t="shared" si="1"/>
        <v>362243.91</v>
      </c>
      <c r="I1079" s="76"/>
      <c r="J1079" s="76"/>
      <c r="K1079" s="76"/>
      <c r="L1079" s="76"/>
      <c r="M1079" s="76"/>
      <c r="N1079" s="76"/>
      <c r="O1079" s="76"/>
      <c r="P1079" s="76"/>
      <c r="Q1079" s="76"/>
      <c r="R1079" s="76"/>
      <c r="S1079" s="76"/>
    </row>
    <row r="1080">
      <c r="A1080" s="159"/>
      <c r="B1080" s="160"/>
      <c r="C1080" s="161"/>
      <c r="D1080" s="162"/>
      <c r="E1080" s="163"/>
      <c r="F1080" s="79"/>
      <c r="G1080" s="164"/>
      <c r="H1080" s="165">
        <f t="shared" si="1"/>
        <v>362243.91</v>
      </c>
      <c r="I1080" s="76"/>
      <c r="J1080" s="76"/>
      <c r="K1080" s="76"/>
      <c r="L1080" s="76"/>
      <c r="M1080" s="76"/>
      <c r="N1080" s="76"/>
      <c r="O1080" s="76"/>
      <c r="P1080" s="76"/>
      <c r="Q1080" s="76"/>
      <c r="R1080" s="76"/>
      <c r="S1080" s="76"/>
    </row>
    <row r="1081">
      <c r="A1081" s="159"/>
      <c r="B1081" s="160"/>
      <c r="C1081" s="161"/>
      <c r="D1081" s="162"/>
      <c r="E1081" s="163"/>
      <c r="F1081" s="79"/>
      <c r="G1081" s="164"/>
      <c r="H1081" s="165">
        <f t="shared" si="1"/>
        <v>362243.91</v>
      </c>
      <c r="I1081" s="76"/>
      <c r="J1081" s="76"/>
      <c r="K1081" s="76"/>
      <c r="L1081" s="76"/>
      <c r="M1081" s="76"/>
      <c r="N1081" s="76"/>
      <c r="O1081" s="76"/>
      <c r="P1081" s="76"/>
      <c r="Q1081" s="76"/>
      <c r="R1081" s="76"/>
      <c r="S1081" s="76"/>
    </row>
    <row r="1082">
      <c r="A1082" s="159"/>
      <c r="B1082" s="160"/>
      <c r="C1082" s="161"/>
      <c r="D1082" s="162"/>
      <c r="E1082" s="163"/>
      <c r="F1082" s="79"/>
      <c r="G1082" s="164"/>
      <c r="H1082" s="165">
        <f t="shared" si="1"/>
        <v>362243.91</v>
      </c>
      <c r="I1082" s="76"/>
      <c r="J1082" s="76"/>
      <c r="K1082" s="76"/>
      <c r="L1082" s="76"/>
      <c r="M1082" s="76"/>
      <c r="N1082" s="76"/>
      <c r="O1082" s="76"/>
      <c r="P1082" s="76"/>
      <c r="Q1082" s="76"/>
      <c r="R1082" s="76"/>
      <c r="S1082" s="76"/>
    </row>
    <row r="1083">
      <c r="A1083" s="159"/>
      <c r="B1083" s="160"/>
      <c r="C1083" s="161"/>
      <c r="D1083" s="162"/>
      <c r="E1083" s="163"/>
      <c r="F1083" s="79"/>
      <c r="G1083" s="164"/>
      <c r="H1083" s="165">
        <f t="shared" si="1"/>
        <v>362243.91</v>
      </c>
      <c r="I1083" s="76"/>
      <c r="J1083" s="76"/>
      <c r="K1083" s="76"/>
      <c r="L1083" s="76"/>
      <c r="M1083" s="76"/>
      <c r="N1083" s="76"/>
      <c r="O1083" s="76"/>
      <c r="P1083" s="76"/>
      <c r="Q1083" s="76"/>
      <c r="R1083" s="76"/>
      <c r="S1083" s="76"/>
    </row>
    <row r="1084">
      <c r="A1084" s="159"/>
      <c r="B1084" s="160"/>
      <c r="C1084" s="161"/>
      <c r="D1084" s="162"/>
      <c r="E1084" s="163"/>
      <c r="F1084" s="79"/>
      <c r="G1084" s="164"/>
      <c r="H1084" s="165">
        <f t="shared" si="1"/>
        <v>362243.91</v>
      </c>
      <c r="I1084" s="76"/>
      <c r="J1084" s="76"/>
      <c r="K1084" s="76"/>
      <c r="L1084" s="76"/>
      <c r="M1084" s="76"/>
      <c r="N1084" s="76"/>
      <c r="O1084" s="76"/>
      <c r="P1084" s="76"/>
      <c r="Q1084" s="76"/>
      <c r="R1084" s="76"/>
      <c r="S1084" s="76"/>
    </row>
    <row r="1085">
      <c r="A1085" s="159"/>
      <c r="B1085" s="160"/>
      <c r="C1085" s="161"/>
      <c r="D1085" s="162"/>
      <c r="E1085" s="163"/>
      <c r="F1085" s="79"/>
      <c r="G1085" s="164"/>
      <c r="H1085" s="165">
        <f t="shared" si="1"/>
        <v>362243.91</v>
      </c>
      <c r="I1085" s="76"/>
      <c r="J1085" s="76"/>
      <c r="K1085" s="76"/>
      <c r="L1085" s="76"/>
      <c r="M1085" s="76"/>
      <c r="N1085" s="76"/>
      <c r="O1085" s="76"/>
      <c r="P1085" s="76"/>
      <c r="Q1085" s="76"/>
      <c r="R1085" s="76"/>
      <c r="S1085" s="76"/>
    </row>
    <row r="1086">
      <c r="A1086" s="159"/>
      <c r="B1086" s="160"/>
      <c r="C1086" s="161"/>
      <c r="D1086" s="162"/>
      <c r="E1086" s="163"/>
      <c r="F1086" s="79"/>
      <c r="G1086" s="164"/>
      <c r="H1086" s="165">
        <f t="shared" si="1"/>
        <v>362243.91</v>
      </c>
      <c r="I1086" s="76"/>
      <c r="J1086" s="76"/>
      <c r="K1086" s="76"/>
      <c r="L1086" s="76"/>
      <c r="M1086" s="76"/>
      <c r="N1086" s="76"/>
      <c r="O1086" s="76"/>
      <c r="P1086" s="76"/>
      <c r="Q1086" s="76"/>
      <c r="R1086" s="76"/>
      <c r="S1086" s="76"/>
    </row>
    <row r="1087">
      <c r="A1087" s="159"/>
      <c r="B1087" s="160"/>
      <c r="C1087" s="161"/>
      <c r="D1087" s="162"/>
      <c r="E1087" s="163"/>
      <c r="F1087" s="79"/>
      <c r="G1087" s="164"/>
      <c r="H1087" s="165">
        <f t="shared" si="1"/>
        <v>362243.91</v>
      </c>
      <c r="I1087" s="76"/>
      <c r="J1087" s="76"/>
      <c r="K1087" s="76"/>
      <c r="L1087" s="76"/>
      <c r="M1087" s="76"/>
      <c r="N1087" s="76"/>
      <c r="O1087" s="76"/>
      <c r="P1087" s="76"/>
      <c r="Q1087" s="76"/>
      <c r="R1087" s="76"/>
      <c r="S1087" s="76"/>
    </row>
    <row r="1088">
      <c r="A1088" s="159"/>
      <c r="B1088" s="160"/>
      <c r="C1088" s="161"/>
      <c r="D1088" s="162"/>
      <c r="E1088" s="163"/>
      <c r="F1088" s="79"/>
      <c r="G1088" s="164"/>
      <c r="H1088" s="165">
        <f t="shared" si="1"/>
        <v>362243.91</v>
      </c>
      <c r="I1088" s="76"/>
      <c r="J1088" s="76"/>
      <c r="K1088" s="76"/>
      <c r="L1088" s="76"/>
      <c r="M1088" s="76"/>
      <c r="N1088" s="76"/>
      <c r="O1088" s="76"/>
      <c r="P1088" s="76"/>
      <c r="Q1088" s="76"/>
      <c r="R1088" s="76"/>
      <c r="S1088" s="76"/>
    </row>
    <row r="1089">
      <c r="A1089" s="159"/>
      <c r="B1089" s="160"/>
      <c r="C1089" s="161"/>
      <c r="D1089" s="162"/>
      <c r="E1089" s="163"/>
      <c r="F1089" s="79"/>
      <c r="G1089" s="164"/>
      <c r="H1089" s="165">
        <f t="shared" si="1"/>
        <v>362243.91</v>
      </c>
      <c r="I1089" s="76"/>
      <c r="J1089" s="76"/>
      <c r="K1089" s="76"/>
      <c r="L1089" s="76"/>
      <c r="M1089" s="76"/>
      <c r="N1089" s="76"/>
      <c r="O1089" s="76"/>
      <c r="P1089" s="76"/>
      <c r="Q1089" s="76"/>
      <c r="R1089" s="76"/>
      <c r="S1089" s="76"/>
    </row>
    <row r="1090">
      <c r="A1090" s="159"/>
      <c r="B1090" s="160"/>
      <c r="C1090" s="161"/>
      <c r="D1090" s="162"/>
      <c r="E1090" s="163"/>
      <c r="F1090" s="79"/>
      <c r="G1090" s="164"/>
      <c r="H1090" s="165">
        <f t="shared" si="1"/>
        <v>362243.91</v>
      </c>
      <c r="I1090" s="76"/>
      <c r="J1090" s="76"/>
      <c r="K1090" s="76"/>
      <c r="L1090" s="76"/>
      <c r="M1090" s="76"/>
      <c r="N1090" s="76"/>
      <c r="O1090" s="76"/>
      <c r="P1090" s="76"/>
      <c r="Q1090" s="76"/>
      <c r="R1090" s="76"/>
      <c r="S1090" s="76"/>
    </row>
    <row r="1091">
      <c r="A1091" s="159"/>
      <c r="B1091" s="160"/>
      <c r="C1091" s="161"/>
      <c r="D1091" s="162"/>
      <c r="E1091" s="163"/>
      <c r="F1091" s="79"/>
      <c r="G1091" s="164"/>
      <c r="H1091" s="165">
        <f t="shared" si="1"/>
        <v>362243.91</v>
      </c>
      <c r="I1091" s="76"/>
      <c r="J1091" s="76"/>
      <c r="K1091" s="76"/>
      <c r="L1091" s="76"/>
      <c r="M1091" s="76"/>
      <c r="N1091" s="76"/>
      <c r="O1091" s="76"/>
      <c r="P1091" s="76"/>
      <c r="Q1091" s="76"/>
      <c r="R1091" s="76"/>
      <c r="S1091" s="76"/>
    </row>
    <row r="1092">
      <c r="A1092" s="159"/>
      <c r="B1092" s="160"/>
      <c r="C1092" s="161"/>
      <c r="D1092" s="162"/>
      <c r="E1092" s="163"/>
      <c r="F1092" s="79"/>
      <c r="G1092" s="164"/>
      <c r="H1092" s="165">
        <f t="shared" si="1"/>
        <v>362243.91</v>
      </c>
      <c r="I1092" s="76"/>
      <c r="J1092" s="76"/>
      <c r="K1092" s="76"/>
      <c r="L1092" s="76"/>
      <c r="M1092" s="76"/>
      <c r="N1092" s="76"/>
      <c r="O1092" s="76"/>
      <c r="P1092" s="76"/>
      <c r="Q1092" s="76"/>
      <c r="R1092" s="76"/>
      <c r="S1092" s="76"/>
    </row>
    <row r="1093">
      <c r="A1093" s="159"/>
      <c r="B1093" s="160"/>
      <c r="C1093" s="161"/>
      <c r="D1093" s="162"/>
      <c r="E1093" s="163"/>
      <c r="F1093" s="79"/>
      <c r="G1093" s="164"/>
      <c r="H1093" s="165">
        <f t="shared" si="1"/>
        <v>362243.91</v>
      </c>
      <c r="I1093" s="76"/>
      <c r="J1093" s="76"/>
      <c r="K1093" s="76"/>
      <c r="L1093" s="76"/>
      <c r="M1093" s="76"/>
      <c r="N1093" s="76"/>
      <c r="O1093" s="76"/>
      <c r="P1093" s="76"/>
      <c r="Q1093" s="76"/>
      <c r="R1093" s="76"/>
      <c r="S1093" s="76"/>
    </row>
    <row r="1094">
      <c r="A1094" s="159"/>
      <c r="B1094" s="160"/>
      <c r="C1094" s="161"/>
      <c r="D1094" s="162"/>
      <c r="E1094" s="163"/>
      <c r="F1094" s="79"/>
      <c r="G1094" s="164"/>
      <c r="H1094" s="165">
        <f t="shared" si="1"/>
        <v>362243.91</v>
      </c>
      <c r="I1094" s="76"/>
      <c r="J1094" s="76"/>
      <c r="K1094" s="76"/>
      <c r="L1094" s="76"/>
      <c r="M1094" s="76"/>
      <c r="N1094" s="76"/>
      <c r="O1094" s="76"/>
      <c r="P1094" s="76"/>
      <c r="Q1094" s="76"/>
      <c r="R1094" s="76"/>
      <c r="S1094" s="76"/>
    </row>
    <row r="1095">
      <c r="A1095" s="159"/>
      <c r="B1095" s="160"/>
      <c r="C1095" s="161"/>
      <c r="D1095" s="162"/>
      <c r="E1095" s="163"/>
      <c r="F1095" s="79"/>
      <c r="G1095" s="164"/>
      <c r="H1095" s="165">
        <f t="shared" si="1"/>
        <v>362243.91</v>
      </c>
      <c r="I1095" s="76"/>
      <c r="J1095" s="76"/>
      <c r="K1095" s="76"/>
      <c r="L1095" s="76"/>
      <c r="M1095" s="76"/>
      <c r="N1095" s="76"/>
      <c r="O1095" s="76"/>
      <c r="P1095" s="76"/>
      <c r="Q1095" s="76"/>
      <c r="R1095" s="76"/>
      <c r="S1095" s="76"/>
    </row>
    <row r="1096">
      <c r="A1096" s="159"/>
      <c r="B1096" s="160"/>
      <c r="C1096" s="161"/>
      <c r="D1096" s="162"/>
      <c r="E1096" s="163"/>
      <c r="F1096" s="79"/>
      <c r="G1096" s="164"/>
      <c r="H1096" s="165">
        <f t="shared" si="1"/>
        <v>362243.91</v>
      </c>
      <c r="I1096" s="76"/>
      <c r="J1096" s="76"/>
      <c r="K1096" s="76"/>
      <c r="L1096" s="76"/>
      <c r="M1096" s="76"/>
      <c r="N1096" s="76"/>
      <c r="O1096" s="76"/>
      <c r="P1096" s="76"/>
      <c r="Q1096" s="76"/>
      <c r="R1096" s="76"/>
      <c r="S1096" s="76"/>
    </row>
    <row r="1097">
      <c r="A1097" s="159"/>
      <c r="B1097" s="160"/>
      <c r="C1097" s="161"/>
      <c r="D1097" s="162"/>
      <c r="E1097" s="163"/>
      <c r="F1097" s="79"/>
      <c r="G1097" s="164"/>
      <c r="H1097" s="165">
        <f t="shared" si="1"/>
        <v>362243.91</v>
      </c>
      <c r="I1097" s="76"/>
      <c r="J1097" s="76"/>
      <c r="K1097" s="76"/>
      <c r="L1097" s="76"/>
      <c r="M1097" s="76"/>
      <c r="N1097" s="76"/>
      <c r="O1097" s="76"/>
      <c r="P1097" s="76"/>
      <c r="Q1097" s="76"/>
      <c r="R1097" s="76"/>
      <c r="S1097" s="76"/>
    </row>
    <row r="1098">
      <c r="A1098" s="159"/>
      <c r="B1098" s="160"/>
      <c r="C1098" s="161"/>
      <c r="D1098" s="162"/>
      <c r="E1098" s="163"/>
      <c r="F1098" s="79"/>
      <c r="G1098" s="164"/>
      <c r="H1098" s="165">
        <f t="shared" si="1"/>
        <v>362243.91</v>
      </c>
      <c r="I1098" s="76"/>
      <c r="J1098" s="76"/>
      <c r="K1098" s="76"/>
      <c r="L1098" s="76"/>
      <c r="M1098" s="76"/>
      <c r="N1098" s="76"/>
      <c r="O1098" s="76"/>
      <c r="P1098" s="76"/>
      <c r="Q1098" s="76"/>
      <c r="R1098" s="76"/>
      <c r="S1098" s="76"/>
    </row>
    <row r="1099">
      <c r="A1099" s="159"/>
      <c r="B1099" s="160"/>
      <c r="C1099" s="161"/>
      <c r="D1099" s="162"/>
      <c r="E1099" s="163"/>
      <c r="F1099" s="79"/>
      <c r="G1099" s="164"/>
      <c r="H1099" s="165">
        <f t="shared" si="1"/>
        <v>362243.91</v>
      </c>
      <c r="I1099" s="76"/>
      <c r="J1099" s="76"/>
      <c r="K1099" s="76"/>
      <c r="L1099" s="76"/>
      <c r="M1099" s="76"/>
      <c r="N1099" s="76"/>
      <c r="O1099" s="76"/>
      <c r="P1099" s="76"/>
      <c r="Q1099" s="76"/>
      <c r="R1099" s="76"/>
      <c r="S1099" s="76"/>
    </row>
    <row r="1100">
      <c r="A1100" s="159"/>
      <c r="B1100" s="160"/>
      <c r="C1100" s="161"/>
      <c r="D1100" s="162"/>
      <c r="E1100" s="163"/>
      <c r="F1100" s="79"/>
      <c r="G1100" s="164"/>
      <c r="H1100" s="165">
        <f t="shared" si="1"/>
        <v>362243.91</v>
      </c>
      <c r="I1100" s="76"/>
      <c r="J1100" s="76"/>
      <c r="K1100" s="76"/>
      <c r="L1100" s="76"/>
      <c r="M1100" s="76"/>
      <c r="N1100" s="76"/>
      <c r="O1100" s="76"/>
      <c r="P1100" s="76"/>
      <c r="Q1100" s="76"/>
      <c r="R1100" s="76"/>
      <c r="S1100" s="76"/>
    </row>
    <row r="1101">
      <c r="A1101" s="159"/>
      <c r="B1101" s="160"/>
      <c r="C1101" s="161"/>
      <c r="D1101" s="162"/>
      <c r="E1101" s="163"/>
      <c r="F1101" s="79"/>
      <c r="G1101" s="164"/>
      <c r="H1101" s="165">
        <f t="shared" si="1"/>
        <v>362243.91</v>
      </c>
      <c r="I1101" s="76"/>
      <c r="J1101" s="76"/>
      <c r="K1101" s="76"/>
      <c r="L1101" s="76"/>
      <c r="M1101" s="76"/>
      <c r="N1101" s="76"/>
      <c r="O1101" s="76"/>
      <c r="P1101" s="76"/>
      <c r="Q1101" s="76"/>
      <c r="R1101" s="76"/>
      <c r="S1101" s="76"/>
    </row>
    <row r="1102">
      <c r="A1102" s="159"/>
      <c r="B1102" s="160"/>
      <c r="C1102" s="161"/>
      <c r="D1102" s="162"/>
      <c r="E1102" s="163"/>
      <c r="F1102" s="79"/>
      <c r="G1102" s="164"/>
      <c r="H1102" s="165">
        <f t="shared" si="1"/>
        <v>362243.91</v>
      </c>
      <c r="I1102" s="76"/>
      <c r="J1102" s="76"/>
      <c r="K1102" s="76"/>
      <c r="L1102" s="76"/>
      <c r="M1102" s="76"/>
      <c r="N1102" s="76"/>
      <c r="O1102" s="76"/>
      <c r="P1102" s="76"/>
      <c r="Q1102" s="76"/>
      <c r="R1102" s="76"/>
      <c r="S1102" s="76"/>
    </row>
    <row r="1103">
      <c r="A1103" s="159"/>
      <c r="B1103" s="160"/>
      <c r="C1103" s="161"/>
      <c r="D1103" s="162"/>
      <c r="E1103" s="163"/>
      <c r="F1103" s="79"/>
      <c r="G1103" s="164"/>
      <c r="H1103" s="165">
        <f t="shared" si="1"/>
        <v>362243.91</v>
      </c>
      <c r="I1103" s="76"/>
      <c r="J1103" s="76"/>
      <c r="K1103" s="76"/>
      <c r="L1103" s="76"/>
      <c r="M1103" s="76"/>
      <c r="N1103" s="76"/>
      <c r="O1103" s="76"/>
      <c r="P1103" s="76"/>
      <c r="Q1103" s="76"/>
      <c r="R1103" s="76"/>
      <c r="S1103" s="76"/>
    </row>
    <row r="1104">
      <c r="A1104" s="159"/>
      <c r="B1104" s="160"/>
      <c r="C1104" s="161"/>
      <c r="D1104" s="162"/>
      <c r="E1104" s="163"/>
      <c r="F1104" s="79"/>
      <c r="G1104" s="164"/>
      <c r="H1104" s="165">
        <f t="shared" si="1"/>
        <v>362243.91</v>
      </c>
      <c r="I1104" s="76"/>
      <c r="J1104" s="76"/>
      <c r="K1104" s="76"/>
      <c r="L1104" s="76"/>
      <c r="M1104" s="76"/>
      <c r="N1104" s="76"/>
      <c r="O1104" s="76"/>
      <c r="P1104" s="76"/>
      <c r="Q1104" s="76"/>
      <c r="R1104" s="76"/>
      <c r="S1104" s="76"/>
    </row>
    <row r="1105">
      <c r="A1105" s="159"/>
      <c r="B1105" s="160"/>
      <c r="C1105" s="161"/>
      <c r="D1105" s="162"/>
      <c r="E1105" s="163"/>
      <c r="F1105" s="79"/>
      <c r="G1105" s="164"/>
      <c r="H1105" s="165">
        <f t="shared" si="1"/>
        <v>362243.91</v>
      </c>
      <c r="I1105" s="76"/>
      <c r="J1105" s="76"/>
      <c r="K1105" s="76"/>
      <c r="L1105" s="76"/>
      <c r="M1105" s="76"/>
      <c r="N1105" s="76"/>
      <c r="O1105" s="76"/>
      <c r="P1105" s="76"/>
      <c r="Q1105" s="76"/>
      <c r="R1105" s="76"/>
      <c r="S1105" s="76"/>
    </row>
    <row r="1106">
      <c r="A1106" s="159"/>
      <c r="B1106" s="160"/>
      <c r="C1106" s="161"/>
      <c r="D1106" s="162"/>
      <c r="E1106" s="163"/>
      <c r="F1106" s="79"/>
      <c r="G1106" s="164"/>
      <c r="H1106" s="165">
        <f t="shared" si="1"/>
        <v>362243.91</v>
      </c>
      <c r="I1106" s="76"/>
      <c r="J1106" s="76"/>
      <c r="K1106" s="76"/>
      <c r="L1106" s="76"/>
      <c r="M1106" s="76"/>
      <c r="N1106" s="76"/>
      <c r="O1106" s="76"/>
      <c r="P1106" s="76"/>
      <c r="Q1106" s="76"/>
      <c r="R1106" s="76"/>
      <c r="S1106" s="76"/>
    </row>
    <row r="1107">
      <c r="A1107" s="159"/>
      <c r="B1107" s="160"/>
      <c r="C1107" s="161"/>
      <c r="D1107" s="162"/>
      <c r="E1107" s="163"/>
      <c r="F1107" s="79"/>
      <c r="G1107" s="164"/>
      <c r="H1107" s="165">
        <f t="shared" si="1"/>
        <v>362243.91</v>
      </c>
      <c r="I1107" s="76"/>
      <c r="J1107" s="76"/>
      <c r="K1107" s="76"/>
      <c r="L1107" s="76"/>
      <c r="M1107" s="76"/>
      <c r="N1107" s="76"/>
      <c r="O1107" s="76"/>
      <c r="P1107" s="76"/>
      <c r="Q1107" s="76"/>
      <c r="R1107" s="76"/>
      <c r="S1107" s="76"/>
    </row>
  </sheetData>
  <conditionalFormatting sqref="I2:I1107">
    <cfRule type="cellIs" dxfId="8" priority="1" stopIfTrue="1" operator="greaterThan">
      <formula>0</formula>
    </cfRule>
  </conditionalFormatting>
  <conditionalFormatting sqref="I2:I1107">
    <cfRule type="cellIs" dxfId="9" priority="2" stopIfTrue="1" operator="lessThan">
      <formula>0</formula>
    </cfRule>
  </conditionalFormatting>
  <conditionalFormatting sqref="A2:F1107">
    <cfRule type="expression" dxfId="24" priority="3">
      <formula>$A2 = "Saldo inicial"</formula>
    </cfRule>
  </conditionalFormatting>
  <conditionalFormatting sqref="A2:F1107">
    <cfRule type="expression" dxfId="25" priority="4">
      <formula>$A2 = "Juros e Aplicações"</formula>
    </cfRule>
  </conditionalFormatting>
  <conditionalFormatting sqref="A2:F1107">
    <cfRule type="expression" dxfId="26" priority="5">
      <formula>$A2 = "Rateio Municipal"</formula>
    </cfRule>
  </conditionalFormatting>
  <conditionalFormatting sqref="A2:F1107">
    <cfRule type="expression" dxfId="27" priority="6">
      <formula>$A2 = "Encargos Trabalhistas"</formula>
    </cfRule>
  </conditionalFormatting>
  <conditionalFormatting sqref="A2:F1107">
    <cfRule type="expression" dxfId="28" priority="7">
      <formula>$A2 = "FGTS"</formula>
    </cfRule>
  </conditionalFormatting>
  <conditionalFormatting sqref="A2:F1107">
    <cfRule type="expression" dxfId="29" priority="8">
      <formula>$A2 = "Topografia"</formula>
    </cfRule>
  </conditionalFormatting>
  <conditionalFormatting sqref="A2:F1107">
    <cfRule type="expression" dxfId="30" priority="9">
      <formula>$A2 = "Folha de Pagamento"</formula>
    </cfRule>
  </conditionalFormatting>
  <conditionalFormatting sqref="A2:F1107">
    <cfRule type="expression" dxfId="31" priority="10">
      <formula>$A2 = "Devolução"</formula>
    </cfRule>
  </conditionalFormatting>
  <conditionalFormatting sqref="A2:F1107">
    <cfRule type="expression" dxfId="32" priority="11">
      <formula>$A2 = "Rateio (transferência errada)"</formula>
    </cfRule>
  </conditionalFormatting>
  <conditionalFormatting sqref="A2:F1107">
    <cfRule type="expression" dxfId="33" priority="12">
      <formula>$A2 = "Licenciamento Ambiental"</formula>
    </cfRule>
  </conditionalFormatting>
  <conditionalFormatting sqref="B39">
    <cfRule type="notContainsBlanks" dxfId="34" priority="13">
      <formula>LEN(TRIM(B39))&gt;0</formula>
    </cfRule>
  </conditionalFormatting>
  <conditionalFormatting sqref="A2:F1107">
    <cfRule type="expression" dxfId="35" priority="14">
      <formula>$A2 = "Diária"</formula>
    </cfRule>
  </conditionalFormatting>
  <conditionalFormatting sqref="G2:G1107">
    <cfRule type="expression" dxfId="36" priority="15">
      <formula>$G2 &gt;0</formula>
    </cfRule>
  </conditionalFormatting>
  <conditionalFormatting sqref="G2:G1107">
    <cfRule type="expression" dxfId="37" priority="16">
      <formula>$G2 &lt; 0</formula>
    </cfRule>
  </conditionalFormatting>
  <dataValidations>
    <dataValidation type="custom" allowBlank="1" showDropDown="1" sqref="D2:D1107">
      <formula1>OR(NOT(ISERROR(DATEVALUE(D2))), AND(ISNUMBER(D2), LEFT(CELL("format", D2))="D"))</formula1>
    </dataValidation>
    <dataValidation type="list" allowBlank="1" sqref="F2:F1107">
      <formula1>"Pix,Boleto,Não consta"</formula1>
    </dataValidation>
    <dataValidation type="list" allowBlank="1" sqref="A2:A1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4" t="s">
        <v>0</v>
      </c>
      <c r="B1" s="6" t="s">
        <v>1</v>
      </c>
      <c r="C1" s="8" t="s">
        <v>7</v>
      </c>
      <c r="D1" s="11" t="s">
        <v>10</v>
      </c>
      <c r="E1" s="8" t="s">
        <v>12</v>
      </c>
      <c r="F1" s="8" t="s">
        <v>14</v>
      </c>
      <c r="G1" s="14" t="s">
        <v>16</v>
      </c>
      <c r="H1" s="16" t="s">
        <v>17</v>
      </c>
      <c r="I1" s="19"/>
    </row>
    <row r="2">
      <c r="A2" s="23" t="s">
        <v>19</v>
      </c>
      <c r="B2" s="25" t="s">
        <v>22</v>
      </c>
      <c r="C2" s="27"/>
      <c r="D2" s="29">
        <v>46076.0</v>
      </c>
      <c r="E2" s="23" t="s">
        <v>27</v>
      </c>
      <c r="F2" s="23" t="s">
        <v>29</v>
      </c>
      <c r="G2" s="32">
        <v>-805.49</v>
      </c>
      <c r="H2" s="37">
        <f>G2</f>
        <v>-805.49</v>
      </c>
      <c r="I2" s="40"/>
    </row>
    <row r="3">
      <c r="A3" s="23" t="s">
        <v>19</v>
      </c>
      <c r="B3" s="25" t="s">
        <v>43</v>
      </c>
      <c r="C3" s="27"/>
      <c r="D3" s="29">
        <v>46076.0</v>
      </c>
      <c r="E3" s="23" t="s">
        <v>27</v>
      </c>
      <c r="F3" s="23" t="s">
        <v>29</v>
      </c>
      <c r="G3" s="46">
        <v>-806.25</v>
      </c>
      <c r="H3" s="37">
        <f t="shared" ref="H3:H75" si="1">H2+G3</f>
        <v>-1611.74</v>
      </c>
      <c r="I3" s="40"/>
    </row>
    <row r="4">
      <c r="A4" s="23" t="s">
        <v>19</v>
      </c>
      <c r="B4" s="25" t="s">
        <v>52</v>
      </c>
      <c r="C4" s="27" t="s">
        <v>53</v>
      </c>
      <c r="D4" s="29">
        <v>46076.0</v>
      </c>
      <c r="E4" s="23" t="s">
        <v>27</v>
      </c>
      <c r="F4" s="23" t="s">
        <v>29</v>
      </c>
      <c r="G4" s="46">
        <v>-404.31</v>
      </c>
      <c r="H4" s="37">
        <f t="shared" si="1"/>
        <v>-2016.05</v>
      </c>
      <c r="I4" s="40"/>
    </row>
    <row r="5">
      <c r="A5" s="23" t="s">
        <v>19</v>
      </c>
      <c r="B5" s="25" t="s">
        <v>58</v>
      </c>
      <c r="C5" s="27" t="s">
        <v>59</v>
      </c>
      <c r="D5" s="29">
        <v>46076.0</v>
      </c>
      <c r="E5" s="23" t="s">
        <v>27</v>
      </c>
      <c r="F5" s="23" t="s">
        <v>62</v>
      </c>
      <c r="G5" s="46">
        <v>-400.0</v>
      </c>
      <c r="H5" s="37">
        <f t="shared" si="1"/>
        <v>-2416.05</v>
      </c>
      <c r="I5" s="40"/>
    </row>
    <row r="6">
      <c r="A6" s="23" t="s">
        <v>19</v>
      </c>
      <c r="B6" s="25" t="s">
        <v>63</v>
      </c>
      <c r="C6" s="27" t="s">
        <v>64</v>
      </c>
      <c r="D6" s="29">
        <v>46076.0</v>
      </c>
      <c r="E6" s="23" t="s">
        <v>27</v>
      </c>
      <c r="F6" s="23" t="s">
        <v>29</v>
      </c>
      <c r="G6" s="46">
        <v>-385.14</v>
      </c>
      <c r="H6" s="37">
        <f t="shared" si="1"/>
        <v>-2801.19</v>
      </c>
      <c r="I6" s="40"/>
    </row>
    <row r="7">
      <c r="A7" s="23" t="s">
        <v>19</v>
      </c>
      <c r="B7" s="25" t="s">
        <v>65</v>
      </c>
      <c r="C7" s="27"/>
      <c r="D7" s="29">
        <v>46076.0</v>
      </c>
      <c r="E7" s="23" t="s">
        <v>27</v>
      </c>
      <c r="F7" s="23" t="s">
        <v>29</v>
      </c>
      <c r="G7" s="46">
        <v>-600.11</v>
      </c>
      <c r="H7" s="37">
        <f t="shared" si="1"/>
        <v>-3401.3</v>
      </c>
      <c r="I7" s="19"/>
    </row>
    <row r="8">
      <c r="A8" s="23" t="s">
        <v>19</v>
      </c>
      <c r="B8" s="25" t="s">
        <v>67</v>
      </c>
      <c r="C8" s="27" t="s">
        <v>68</v>
      </c>
      <c r="D8" s="29">
        <v>46076.0</v>
      </c>
      <c r="E8" s="23" t="s">
        <v>27</v>
      </c>
      <c r="F8" s="23" t="s">
        <v>62</v>
      </c>
      <c r="G8" s="46">
        <v>-861.98</v>
      </c>
      <c r="H8" s="37">
        <f t="shared" si="1"/>
        <v>-4263.28</v>
      </c>
      <c r="I8" s="19"/>
    </row>
    <row r="9">
      <c r="A9" s="23" t="s">
        <v>19</v>
      </c>
      <c r="B9" s="25" t="s">
        <v>69</v>
      </c>
      <c r="C9" s="27" t="s">
        <v>70</v>
      </c>
      <c r="D9" s="29">
        <v>46084.0</v>
      </c>
      <c r="E9" s="23" t="s">
        <v>27</v>
      </c>
      <c r="F9" s="23" t="s">
        <v>62</v>
      </c>
      <c r="G9" s="46">
        <v>-400.0</v>
      </c>
      <c r="H9" s="37">
        <f t="shared" si="1"/>
        <v>-4663.28</v>
      </c>
      <c r="I9" s="19"/>
    </row>
    <row r="10">
      <c r="A10" s="23" t="s">
        <v>19</v>
      </c>
      <c r="B10" s="25" t="s">
        <v>72</v>
      </c>
      <c r="C10" s="27" t="s">
        <v>73</v>
      </c>
      <c r="D10" s="29">
        <v>46080.0</v>
      </c>
      <c r="E10" s="23" t="s">
        <v>27</v>
      </c>
      <c r="F10" s="23" t="s">
        <v>62</v>
      </c>
      <c r="G10" s="46">
        <v>-250.18</v>
      </c>
      <c r="H10" s="37">
        <f t="shared" si="1"/>
        <v>-4913.46</v>
      </c>
      <c r="I10" s="19"/>
    </row>
    <row r="11">
      <c r="A11" s="23" t="s">
        <v>19</v>
      </c>
      <c r="B11" s="25" t="s">
        <v>74</v>
      </c>
      <c r="C11" s="27" t="s">
        <v>75</v>
      </c>
      <c r="D11" s="29">
        <v>46080.0</v>
      </c>
      <c r="E11" s="23" t="s">
        <v>27</v>
      </c>
      <c r="F11" s="23" t="s">
        <v>29</v>
      </c>
      <c r="G11" s="46">
        <v>-1408.34</v>
      </c>
      <c r="H11" s="37">
        <f t="shared" si="1"/>
        <v>-6321.8</v>
      </c>
      <c r="I11" s="19"/>
    </row>
    <row r="12">
      <c r="A12" s="23" t="s">
        <v>19</v>
      </c>
      <c r="B12" s="25" t="s">
        <v>76</v>
      </c>
      <c r="C12" s="27" t="s">
        <v>77</v>
      </c>
      <c r="D12" s="29">
        <v>46080.0</v>
      </c>
      <c r="E12" s="23" t="s">
        <v>27</v>
      </c>
      <c r="F12" s="23" t="s">
        <v>62</v>
      </c>
      <c r="G12" s="46">
        <v>-1295.0</v>
      </c>
      <c r="H12" s="37">
        <f t="shared" si="1"/>
        <v>-7616.8</v>
      </c>
      <c r="I12" s="19"/>
    </row>
    <row r="13">
      <c r="A13" s="23" t="s">
        <v>19</v>
      </c>
      <c r="B13" s="25" t="s">
        <v>78</v>
      </c>
      <c r="C13" s="27" t="s">
        <v>79</v>
      </c>
      <c r="D13" s="29">
        <v>46080.0</v>
      </c>
      <c r="E13" s="23" t="s">
        <v>27</v>
      </c>
      <c r="F13" s="23" t="s">
        <v>62</v>
      </c>
      <c r="G13" s="46">
        <v>-2575.0</v>
      </c>
      <c r="H13" s="37">
        <f t="shared" si="1"/>
        <v>-10191.8</v>
      </c>
      <c r="I13" s="40"/>
    </row>
    <row r="14">
      <c r="A14" s="23" t="s">
        <v>19</v>
      </c>
      <c r="B14" s="25" t="s">
        <v>81</v>
      </c>
      <c r="C14" s="63"/>
      <c r="D14" s="29">
        <v>46080.0</v>
      </c>
      <c r="E14" s="23" t="s">
        <v>27</v>
      </c>
      <c r="F14" s="23" t="s">
        <v>62</v>
      </c>
      <c r="G14" s="46">
        <v>-230.0</v>
      </c>
      <c r="H14" s="37">
        <f t="shared" si="1"/>
        <v>-10421.8</v>
      </c>
      <c r="I14" s="64"/>
      <c r="J14" s="64"/>
      <c r="K14" s="64"/>
    </row>
    <row r="15">
      <c r="A15" s="23" t="s">
        <v>19</v>
      </c>
      <c r="B15" s="25" t="s">
        <v>82</v>
      </c>
      <c r="C15" s="27" t="s">
        <v>83</v>
      </c>
      <c r="D15" s="29">
        <v>46080.0</v>
      </c>
      <c r="E15" s="23" t="s">
        <v>27</v>
      </c>
      <c r="F15" s="23" t="s">
        <v>62</v>
      </c>
      <c r="G15" s="46">
        <v>-68.0</v>
      </c>
      <c r="H15" s="37">
        <f t="shared" si="1"/>
        <v>-10489.8</v>
      </c>
      <c r="I15" s="64"/>
      <c r="J15" s="64"/>
      <c r="K15" s="64"/>
    </row>
    <row r="16">
      <c r="A16" s="23" t="s">
        <v>19</v>
      </c>
      <c r="B16" s="65" t="s">
        <v>84</v>
      </c>
      <c r="C16" s="66"/>
      <c r="D16" s="67">
        <v>46085.0</v>
      </c>
      <c r="E16" s="68" t="s">
        <v>27</v>
      </c>
      <c r="F16" s="68" t="s">
        <v>29</v>
      </c>
      <c r="G16" s="69">
        <v>-1740.0</v>
      </c>
      <c r="H16" s="37">
        <f t="shared" si="1"/>
        <v>-12229.8</v>
      </c>
      <c r="I16" s="64"/>
      <c r="J16" s="64"/>
      <c r="K16" s="64"/>
    </row>
    <row r="17">
      <c r="A17" s="23" t="s">
        <v>19</v>
      </c>
      <c r="B17" s="65" t="s">
        <v>87</v>
      </c>
      <c r="C17" s="66"/>
      <c r="D17" s="67">
        <v>46085.0</v>
      </c>
      <c r="E17" s="68" t="s">
        <v>27</v>
      </c>
      <c r="F17" s="68" t="s">
        <v>62</v>
      </c>
      <c r="G17" s="69">
        <v>-1621.0</v>
      </c>
      <c r="H17" s="37">
        <f t="shared" si="1"/>
        <v>-13850.8</v>
      </c>
      <c r="I17" s="64"/>
      <c r="J17" s="64"/>
      <c r="K17" s="64"/>
    </row>
    <row r="18">
      <c r="A18" s="23" t="s">
        <v>19</v>
      </c>
      <c r="B18" s="71" t="s">
        <v>88</v>
      </c>
      <c r="C18" s="72"/>
      <c r="D18" s="73">
        <v>46090.0</v>
      </c>
      <c r="E18" s="68" t="s">
        <v>27</v>
      </c>
      <c r="F18" s="74" t="s">
        <v>29</v>
      </c>
      <c r="G18" s="75">
        <v>-119.14</v>
      </c>
      <c r="H18" s="37">
        <f t="shared" si="1"/>
        <v>-13969.94</v>
      </c>
      <c r="I18" s="76"/>
    </row>
    <row r="19">
      <c r="A19" s="23" t="s">
        <v>19</v>
      </c>
      <c r="B19" s="65" t="s">
        <v>90</v>
      </c>
      <c r="C19" s="77" t="s">
        <v>91</v>
      </c>
      <c r="D19" s="67">
        <v>46093.0</v>
      </c>
      <c r="E19" s="68" t="s">
        <v>27</v>
      </c>
      <c r="F19" s="68" t="s">
        <v>62</v>
      </c>
      <c r="G19" s="69">
        <v>-115.0</v>
      </c>
      <c r="H19" s="37">
        <f t="shared" si="1"/>
        <v>-14084.94</v>
      </c>
      <c r="I19" s="64"/>
      <c r="J19" s="78"/>
      <c r="K19" s="78"/>
    </row>
    <row r="20">
      <c r="A20" s="23" t="s">
        <v>19</v>
      </c>
      <c r="B20" s="71" t="s">
        <v>52</v>
      </c>
      <c r="C20" s="72"/>
      <c r="D20" s="73">
        <v>46096.0</v>
      </c>
      <c r="E20" s="74" t="s">
        <v>27</v>
      </c>
      <c r="F20" s="79"/>
      <c r="G20" s="75">
        <v>-404.05</v>
      </c>
      <c r="H20" s="37">
        <f t="shared" si="1"/>
        <v>-14488.99</v>
      </c>
      <c r="I20" s="76"/>
    </row>
    <row r="21">
      <c r="A21" s="23" t="s">
        <v>19</v>
      </c>
      <c r="B21" s="71" t="s">
        <v>94</v>
      </c>
      <c r="C21" s="72"/>
      <c r="D21" s="73">
        <v>46096.0</v>
      </c>
      <c r="E21" s="74" t="s">
        <v>27</v>
      </c>
      <c r="F21" s="79"/>
      <c r="G21" s="75">
        <v>-400.0</v>
      </c>
      <c r="H21" s="37">
        <f t="shared" si="1"/>
        <v>-14888.99</v>
      </c>
      <c r="I21" s="76"/>
    </row>
    <row r="22">
      <c r="A22" s="23" t="s">
        <v>19</v>
      </c>
      <c r="B22" s="71" t="s">
        <v>96</v>
      </c>
      <c r="C22" s="72"/>
      <c r="D22" s="73">
        <v>46096.0</v>
      </c>
      <c r="E22" s="74" t="s">
        <v>27</v>
      </c>
      <c r="F22" s="79"/>
      <c r="G22" s="75">
        <v>-368.02</v>
      </c>
      <c r="H22" s="37">
        <f t="shared" si="1"/>
        <v>-15257.01</v>
      </c>
      <c r="I22" s="76"/>
    </row>
    <row r="23">
      <c r="A23" s="23" t="s">
        <v>19</v>
      </c>
      <c r="B23" s="71" t="s">
        <v>100</v>
      </c>
      <c r="C23" s="72"/>
      <c r="D23" s="73">
        <v>46096.0</v>
      </c>
      <c r="E23" s="74" t="s">
        <v>27</v>
      </c>
      <c r="F23" s="79"/>
      <c r="G23" s="75">
        <v>-350.94</v>
      </c>
      <c r="H23" s="37">
        <f t="shared" si="1"/>
        <v>-15607.95</v>
      </c>
      <c r="I23" s="76"/>
    </row>
    <row r="24">
      <c r="A24" s="23" t="s">
        <v>19</v>
      </c>
      <c r="B24" s="71" t="s">
        <v>101</v>
      </c>
      <c r="C24" s="72"/>
      <c r="D24" s="73">
        <v>46098.0</v>
      </c>
      <c r="E24" s="74" t="s">
        <v>27</v>
      </c>
      <c r="F24" s="79"/>
      <c r="G24" s="75">
        <v>-794.84</v>
      </c>
      <c r="H24" s="37">
        <f t="shared" si="1"/>
        <v>-16402.79</v>
      </c>
      <c r="I24" s="76"/>
    </row>
    <row r="25">
      <c r="A25" s="23" t="s">
        <v>19</v>
      </c>
      <c r="B25" s="82" t="s">
        <v>104</v>
      </c>
      <c r="C25" s="83" t="s">
        <v>75</v>
      </c>
      <c r="D25" s="84">
        <v>46107.0</v>
      </c>
      <c r="E25" s="74" t="s">
        <v>27</v>
      </c>
      <c r="F25" s="85" t="s">
        <v>62</v>
      </c>
      <c r="G25" s="86">
        <v>-400.0</v>
      </c>
      <c r="H25" s="37">
        <f t="shared" si="1"/>
        <v>-16802.79</v>
      </c>
      <c r="I25" s="76"/>
    </row>
    <row r="26">
      <c r="A26" s="23" t="s">
        <v>19</v>
      </c>
      <c r="B26" s="82" t="s">
        <v>107</v>
      </c>
      <c r="C26" s="87"/>
      <c r="D26" s="84">
        <v>46107.0</v>
      </c>
      <c r="E26" s="74" t="s">
        <v>27</v>
      </c>
      <c r="F26" s="85" t="s">
        <v>29</v>
      </c>
      <c r="G26" s="86">
        <v>-600.11</v>
      </c>
      <c r="H26" s="37">
        <f t="shared" si="1"/>
        <v>-17402.9</v>
      </c>
      <c r="I26" s="76"/>
    </row>
    <row r="27">
      <c r="A27" s="23" t="s">
        <v>19</v>
      </c>
      <c r="B27" s="25" t="s">
        <v>108</v>
      </c>
      <c r="C27" s="27" t="s">
        <v>75</v>
      </c>
      <c r="D27" s="73">
        <v>46108.0</v>
      </c>
      <c r="E27" s="23" t="s">
        <v>27</v>
      </c>
      <c r="F27" s="23" t="s">
        <v>29</v>
      </c>
      <c r="G27" s="46">
        <v>-1408.34</v>
      </c>
      <c r="H27" s="37">
        <f t="shared" si="1"/>
        <v>-18811.24</v>
      </c>
      <c r="I27" s="76"/>
    </row>
    <row r="28">
      <c r="A28" s="23" t="s">
        <v>19</v>
      </c>
      <c r="B28" s="82" t="s">
        <v>111</v>
      </c>
      <c r="C28" s="87"/>
      <c r="D28" s="84">
        <v>46111.0</v>
      </c>
      <c r="E28" s="74" t="s">
        <v>27</v>
      </c>
      <c r="F28" s="88"/>
      <c r="G28" s="86">
        <v>-269.82</v>
      </c>
      <c r="H28" s="37">
        <f t="shared" si="1"/>
        <v>-19081.06</v>
      </c>
      <c r="I28" s="76"/>
    </row>
    <row r="29">
      <c r="A29" s="23" t="s">
        <v>19</v>
      </c>
      <c r="B29" s="82" t="s">
        <v>113</v>
      </c>
      <c r="C29" s="83" t="s">
        <v>114</v>
      </c>
      <c r="D29" s="84">
        <v>46111.0</v>
      </c>
      <c r="E29" s="74" t="s">
        <v>27</v>
      </c>
      <c r="F29" s="88"/>
      <c r="G29" s="86">
        <v>-1665.0</v>
      </c>
      <c r="H29" s="37">
        <f t="shared" si="1"/>
        <v>-20746.06</v>
      </c>
      <c r="I29" s="76"/>
    </row>
    <row r="30">
      <c r="A30" s="23" t="s">
        <v>19</v>
      </c>
      <c r="B30" s="82" t="s">
        <v>115</v>
      </c>
      <c r="C30" s="87"/>
      <c r="D30" s="84">
        <v>46113.0</v>
      </c>
      <c r="E30" s="74" t="s">
        <v>27</v>
      </c>
      <c r="F30" s="85" t="s">
        <v>62</v>
      </c>
      <c r="G30" s="86">
        <v>-102.0</v>
      </c>
      <c r="H30" s="37">
        <f t="shared" si="1"/>
        <v>-20848.06</v>
      </c>
      <c r="I30" s="76"/>
    </row>
    <row r="31">
      <c r="A31" s="23" t="s">
        <v>19</v>
      </c>
      <c r="B31" s="82" t="s">
        <v>116</v>
      </c>
      <c r="C31" s="83" t="s">
        <v>117</v>
      </c>
      <c r="D31" s="84">
        <v>46119.0</v>
      </c>
      <c r="E31" s="74" t="s">
        <v>27</v>
      </c>
      <c r="F31" s="79"/>
      <c r="G31" s="86">
        <v>-250.0</v>
      </c>
      <c r="H31" s="37">
        <f t="shared" si="1"/>
        <v>-21098.06</v>
      </c>
      <c r="I31" s="76"/>
    </row>
    <row r="32">
      <c r="A32" s="23" t="s">
        <v>19</v>
      </c>
      <c r="B32" s="82" t="s">
        <v>121</v>
      </c>
      <c r="C32" s="83" t="s">
        <v>122</v>
      </c>
      <c r="D32" s="84">
        <v>46119.0</v>
      </c>
      <c r="E32" s="74" t="s">
        <v>27</v>
      </c>
      <c r="F32" s="79"/>
      <c r="G32" s="86">
        <v>-237.0</v>
      </c>
      <c r="H32" s="37">
        <f t="shared" si="1"/>
        <v>-21335.06</v>
      </c>
      <c r="I32" s="76"/>
    </row>
    <row r="33">
      <c r="A33" s="23" t="s">
        <v>19</v>
      </c>
      <c r="B33" s="71" t="s">
        <v>123</v>
      </c>
      <c r="C33" s="92" t="s">
        <v>75</v>
      </c>
      <c r="D33" s="73">
        <v>46120.0</v>
      </c>
      <c r="E33" s="74" t="s">
        <v>27</v>
      </c>
      <c r="F33" s="79"/>
      <c r="G33" s="75">
        <v>-1621.0</v>
      </c>
      <c r="H33" s="37">
        <f t="shared" si="1"/>
        <v>-22956.06</v>
      </c>
      <c r="I33" s="76"/>
    </row>
    <row r="34">
      <c r="A34" s="23" t="s">
        <v>19</v>
      </c>
      <c r="B34" s="71" t="s">
        <v>52</v>
      </c>
      <c r="C34" s="72"/>
      <c r="D34" s="73">
        <v>46128.0</v>
      </c>
      <c r="E34" s="74" t="s">
        <v>27</v>
      </c>
      <c r="F34" s="74" t="s">
        <v>29</v>
      </c>
      <c r="G34" s="75">
        <v>-353.25</v>
      </c>
      <c r="H34" s="37">
        <f t="shared" si="1"/>
        <v>-23309.31</v>
      </c>
      <c r="I34" s="76"/>
    </row>
    <row r="35">
      <c r="A35" s="23" t="s">
        <v>19</v>
      </c>
      <c r="B35" s="71" t="s">
        <v>127</v>
      </c>
      <c r="C35" s="72"/>
      <c r="D35" s="73">
        <v>46128.0</v>
      </c>
      <c r="E35" s="74" t="s">
        <v>27</v>
      </c>
      <c r="F35" s="74" t="s">
        <v>62</v>
      </c>
      <c r="G35" s="75">
        <v>-400.0</v>
      </c>
      <c r="H35" s="37">
        <f t="shared" si="1"/>
        <v>-23709.31</v>
      </c>
      <c r="I35" s="76"/>
    </row>
    <row r="36">
      <c r="A36" s="23" t="s">
        <v>19</v>
      </c>
      <c r="B36" s="82" t="s">
        <v>128</v>
      </c>
      <c r="C36" s="83"/>
      <c r="D36" s="84">
        <v>46129.0</v>
      </c>
      <c r="E36" s="74" t="s">
        <v>27</v>
      </c>
      <c r="F36" s="94"/>
      <c r="G36" s="86">
        <v>-71.92</v>
      </c>
      <c r="H36" s="37">
        <f t="shared" si="1"/>
        <v>-23781.23</v>
      </c>
      <c r="I36" s="76"/>
    </row>
    <row r="37">
      <c r="A37" s="23" t="s">
        <v>19</v>
      </c>
      <c r="B37" s="82" t="s">
        <v>130</v>
      </c>
      <c r="C37" s="83" t="s">
        <v>131</v>
      </c>
      <c r="D37" s="84">
        <v>46129.0</v>
      </c>
      <c r="E37" s="74" t="s">
        <v>27</v>
      </c>
      <c r="F37" s="74" t="s">
        <v>29</v>
      </c>
      <c r="G37" s="86">
        <v>-368.02</v>
      </c>
      <c r="H37" s="37">
        <f t="shared" si="1"/>
        <v>-24149.25</v>
      </c>
      <c r="I37" s="76"/>
    </row>
    <row r="38">
      <c r="A38" s="23" t="s">
        <v>133</v>
      </c>
      <c r="B38" s="96" t="s">
        <v>134</v>
      </c>
      <c r="C38" s="97"/>
      <c r="D38" s="99">
        <v>46129.0</v>
      </c>
      <c r="E38" s="74" t="s">
        <v>27</v>
      </c>
      <c r="F38" s="100"/>
      <c r="G38" s="101">
        <v>5000.0</v>
      </c>
      <c r="H38" s="37">
        <f t="shared" si="1"/>
        <v>-19149.25</v>
      </c>
      <c r="I38" s="102"/>
      <c r="J38" s="103"/>
      <c r="K38" s="103"/>
    </row>
    <row r="39">
      <c r="A39" s="23" t="s">
        <v>19</v>
      </c>
      <c r="B39" s="82" t="s">
        <v>104</v>
      </c>
      <c r="C39" s="83" t="s">
        <v>114</v>
      </c>
      <c r="D39" s="84">
        <v>46129.0</v>
      </c>
      <c r="E39" s="74" t="s">
        <v>27</v>
      </c>
      <c r="F39" s="79"/>
      <c r="G39" s="86">
        <v>-400.0</v>
      </c>
      <c r="H39" s="37">
        <f t="shared" si="1"/>
        <v>-19549.25</v>
      </c>
      <c r="I39" s="76"/>
    </row>
    <row r="40">
      <c r="A40" s="23" t="s">
        <v>19</v>
      </c>
      <c r="B40" s="65" t="s">
        <v>137</v>
      </c>
      <c r="C40" s="87"/>
      <c r="D40" s="84">
        <v>46139.0</v>
      </c>
      <c r="E40" s="74" t="s">
        <v>27</v>
      </c>
      <c r="F40" s="79"/>
      <c r="G40" s="69">
        <v>-1408.34</v>
      </c>
      <c r="H40" s="37">
        <f t="shared" si="1"/>
        <v>-20957.59</v>
      </c>
      <c r="I40" s="76"/>
    </row>
    <row r="41">
      <c r="A41" s="23" t="s">
        <v>19</v>
      </c>
      <c r="B41" s="71" t="s">
        <v>140</v>
      </c>
      <c r="C41" s="92"/>
      <c r="D41" s="73">
        <v>46142.0</v>
      </c>
      <c r="E41" s="74" t="s">
        <v>27</v>
      </c>
      <c r="F41" s="94"/>
      <c r="G41" s="75">
        <v>-338.51</v>
      </c>
      <c r="H41" s="37">
        <f t="shared" si="1"/>
        <v>-21296.1</v>
      </c>
      <c r="I41" s="76"/>
    </row>
    <row r="42">
      <c r="A42" s="23" t="s">
        <v>19</v>
      </c>
      <c r="B42" s="71" t="s">
        <v>141</v>
      </c>
      <c r="C42" s="72"/>
      <c r="D42" s="73">
        <v>46142.0</v>
      </c>
      <c r="E42" s="74" t="s">
        <v>27</v>
      </c>
      <c r="F42" s="74" t="s">
        <v>62</v>
      </c>
      <c r="G42" s="75">
        <v>-450.0</v>
      </c>
      <c r="H42" s="37">
        <f t="shared" si="1"/>
        <v>-21746.1</v>
      </c>
      <c r="I42" s="76"/>
    </row>
    <row r="43">
      <c r="A43" s="23" t="s">
        <v>19</v>
      </c>
      <c r="B43" s="71" t="s">
        <v>113</v>
      </c>
      <c r="C43" s="72"/>
      <c r="D43" s="73">
        <v>46142.0</v>
      </c>
      <c r="E43" s="74" t="s">
        <v>27</v>
      </c>
      <c r="F43" s="74" t="s">
        <v>62</v>
      </c>
      <c r="G43" s="75">
        <v>-1480.0</v>
      </c>
      <c r="H43" s="37">
        <f t="shared" si="1"/>
        <v>-23226.1</v>
      </c>
      <c r="I43" s="76"/>
    </row>
    <row r="44">
      <c r="A44" s="23" t="s">
        <v>19</v>
      </c>
      <c r="B44" s="71" t="s">
        <v>111</v>
      </c>
      <c r="C44" s="72"/>
      <c r="D44" s="73">
        <v>46142.0</v>
      </c>
      <c r="E44" s="74" t="s">
        <v>27</v>
      </c>
      <c r="F44" s="74" t="s">
        <v>62</v>
      </c>
      <c r="G44" s="75">
        <v>-14.97</v>
      </c>
      <c r="H44" s="37">
        <f t="shared" si="1"/>
        <v>-23241.07</v>
      </c>
      <c r="I44" s="76"/>
    </row>
    <row r="45">
      <c r="A45" s="23" t="s">
        <v>19</v>
      </c>
      <c r="B45" s="71" t="s">
        <v>146</v>
      </c>
      <c r="C45" s="92"/>
      <c r="D45" s="73">
        <v>46144.0</v>
      </c>
      <c r="E45" s="74" t="s">
        <v>148</v>
      </c>
      <c r="F45" s="74" t="s">
        <v>62</v>
      </c>
      <c r="G45" s="75">
        <v>-150.0</v>
      </c>
      <c r="H45" s="37">
        <f t="shared" si="1"/>
        <v>-23391.07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</row>
    <row r="46">
      <c r="A46" s="23" t="s">
        <v>19</v>
      </c>
      <c r="B46" s="82" t="s">
        <v>123</v>
      </c>
      <c r="C46" s="87"/>
      <c r="D46" s="84">
        <v>46153.0</v>
      </c>
      <c r="E46" s="74" t="s">
        <v>27</v>
      </c>
      <c r="F46" s="79"/>
      <c r="G46" s="86">
        <v>-1621.0</v>
      </c>
      <c r="H46" s="37">
        <f t="shared" si="1"/>
        <v>-25012.07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</row>
    <row r="47">
      <c r="A47" s="23" t="s">
        <v>133</v>
      </c>
      <c r="B47" s="96" t="s">
        <v>134</v>
      </c>
      <c r="C47" s="97"/>
      <c r="D47" s="99">
        <v>46153.0</v>
      </c>
      <c r="E47" s="111" t="s">
        <v>27</v>
      </c>
      <c r="F47" s="100"/>
      <c r="G47" s="69">
        <v>5000.0</v>
      </c>
      <c r="H47" s="37">
        <f t="shared" si="1"/>
        <v>-20012.07</v>
      </c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</row>
    <row r="48">
      <c r="A48" s="23" t="s">
        <v>19</v>
      </c>
      <c r="B48" s="71" t="s">
        <v>104</v>
      </c>
      <c r="C48" s="72"/>
      <c r="D48" s="73">
        <v>46158.0</v>
      </c>
      <c r="E48" s="74" t="s">
        <v>27</v>
      </c>
      <c r="F48" s="79"/>
      <c r="G48" s="75">
        <v>-400.0</v>
      </c>
      <c r="H48" s="37">
        <f t="shared" si="1"/>
        <v>-20412.07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</row>
    <row r="49">
      <c r="A49" s="23" t="s">
        <v>19</v>
      </c>
      <c r="B49" s="71" t="s">
        <v>52</v>
      </c>
      <c r="C49" s="72"/>
      <c r="D49" s="73">
        <v>46158.0</v>
      </c>
      <c r="E49" s="74" t="s">
        <v>27</v>
      </c>
      <c r="F49" s="79"/>
      <c r="G49" s="75">
        <v>-353.25</v>
      </c>
      <c r="H49" s="37">
        <f t="shared" si="1"/>
        <v>-20765.32</v>
      </c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</row>
    <row r="50">
      <c r="A50" s="23" t="s">
        <v>19</v>
      </c>
      <c r="B50" s="71" t="s">
        <v>63</v>
      </c>
      <c r="C50" s="72"/>
      <c r="D50" s="73">
        <v>46158.0</v>
      </c>
      <c r="E50" s="74" t="s">
        <v>27</v>
      </c>
      <c r="F50" s="79"/>
      <c r="G50" s="75">
        <v>-368.02</v>
      </c>
      <c r="H50" s="37">
        <f t="shared" si="1"/>
        <v>-21133.34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</row>
    <row r="51">
      <c r="A51" s="23" t="s">
        <v>19</v>
      </c>
      <c r="B51" s="71" t="s">
        <v>127</v>
      </c>
      <c r="C51" s="72"/>
      <c r="D51" s="73">
        <v>46158.0</v>
      </c>
      <c r="E51" s="74" t="s">
        <v>27</v>
      </c>
      <c r="F51" s="79"/>
      <c r="G51" s="75">
        <v>-400.0</v>
      </c>
      <c r="H51" s="37">
        <f t="shared" si="1"/>
        <v>-21533.34</v>
      </c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</row>
    <row r="52">
      <c r="A52" s="23" t="s">
        <v>19</v>
      </c>
      <c r="B52" s="71" t="s">
        <v>100</v>
      </c>
      <c r="C52" s="72"/>
      <c r="D52" s="73">
        <v>46162.0</v>
      </c>
      <c r="E52" s="74" t="s">
        <v>27</v>
      </c>
      <c r="F52" s="79"/>
      <c r="G52" s="75">
        <v>-978.48</v>
      </c>
      <c r="H52" s="37">
        <f t="shared" si="1"/>
        <v>-22511.82</v>
      </c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</row>
    <row r="53">
      <c r="A53" s="23" t="s">
        <v>19</v>
      </c>
      <c r="B53" s="82" t="s">
        <v>155</v>
      </c>
      <c r="C53" s="87"/>
      <c r="D53" s="84">
        <v>46171.0</v>
      </c>
      <c r="E53" s="74" t="s">
        <v>148</v>
      </c>
      <c r="F53" s="74" t="s">
        <v>29</v>
      </c>
      <c r="G53" s="86">
        <v>-60.61</v>
      </c>
      <c r="H53" s="37">
        <f t="shared" si="1"/>
        <v>-22572.43</v>
      </c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</row>
    <row r="54">
      <c r="A54" s="23" t="s">
        <v>19</v>
      </c>
      <c r="B54" s="82" t="s">
        <v>113</v>
      </c>
      <c r="C54" s="87"/>
      <c r="D54" s="84">
        <v>46171.0</v>
      </c>
      <c r="E54" s="74" t="s">
        <v>27</v>
      </c>
      <c r="F54" s="74" t="s">
        <v>62</v>
      </c>
      <c r="G54" s="86">
        <v>-1480.0</v>
      </c>
      <c r="H54" s="37">
        <f t="shared" si="1"/>
        <v>-24052.43</v>
      </c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</row>
    <row r="55">
      <c r="A55" s="23" t="s">
        <v>19</v>
      </c>
      <c r="B55" s="71" t="s">
        <v>159</v>
      </c>
      <c r="C55" s="113" t="s">
        <v>160</v>
      </c>
      <c r="D55" s="73">
        <v>46189.0</v>
      </c>
      <c r="E55" s="74" t="s">
        <v>27</v>
      </c>
      <c r="F55" s="114"/>
      <c r="G55" s="115">
        <v>-85.0</v>
      </c>
      <c r="H55" s="37">
        <f t="shared" si="1"/>
        <v>-24137.43</v>
      </c>
      <c r="I55" s="19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</row>
    <row r="56">
      <c r="A56" s="23" t="s">
        <v>19</v>
      </c>
      <c r="B56" s="71" t="s">
        <v>162</v>
      </c>
      <c r="C56" s="72"/>
      <c r="D56" s="73">
        <v>46189.0</v>
      </c>
      <c r="E56" s="74" t="s">
        <v>27</v>
      </c>
      <c r="F56" s="79"/>
      <c r="G56" s="75">
        <v>-0.76</v>
      </c>
      <c r="H56" s="37">
        <f t="shared" si="1"/>
        <v>-24138.19</v>
      </c>
      <c r="I56" s="76"/>
    </row>
    <row r="57">
      <c r="A57" s="23" t="s">
        <v>19</v>
      </c>
      <c r="B57" s="82" t="s">
        <v>163</v>
      </c>
      <c r="C57" s="72"/>
      <c r="D57" s="84">
        <v>46218.0</v>
      </c>
      <c r="E57" s="74" t="s">
        <v>27</v>
      </c>
      <c r="F57" s="94"/>
      <c r="G57" s="86">
        <v>-297.67</v>
      </c>
      <c r="H57" s="37">
        <f t="shared" si="1"/>
        <v>-24435.86</v>
      </c>
      <c r="I57" s="76"/>
    </row>
    <row r="58">
      <c r="A58" s="23" t="s">
        <v>19</v>
      </c>
      <c r="B58" s="71" t="s">
        <v>164</v>
      </c>
      <c r="C58" s="72"/>
      <c r="D58" s="73">
        <v>46226.0</v>
      </c>
      <c r="E58" s="74" t="s">
        <v>27</v>
      </c>
      <c r="F58" s="79"/>
      <c r="G58" s="75">
        <v>12033.13</v>
      </c>
      <c r="H58" s="37">
        <f t="shared" si="1"/>
        <v>-12402.73</v>
      </c>
      <c r="I58" s="76"/>
    </row>
    <row r="59">
      <c r="A59" s="23" t="s">
        <v>19</v>
      </c>
      <c r="B59" s="82" t="s">
        <v>166</v>
      </c>
      <c r="C59" s="72"/>
      <c r="D59" s="118">
        <v>46227.0</v>
      </c>
      <c r="E59" s="74" t="s">
        <v>27</v>
      </c>
      <c r="F59" s="79"/>
      <c r="G59" s="86">
        <v>-1480.0</v>
      </c>
      <c r="H59" s="37">
        <f t="shared" si="1"/>
        <v>-13882.73</v>
      </c>
      <c r="I59" s="76"/>
    </row>
    <row r="60">
      <c r="A60" s="23" t="s">
        <v>19</v>
      </c>
      <c r="B60" s="82" t="s">
        <v>167</v>
      </c>
      <c r="C60" s="72"/>
      <c r="D60" s="119">
        <v>46227.0</v>
      </c>
      <c r="E60" s="74" t="s">
        <v>27</v>
      </c>
      <c r="F60" s="79"/>
      <c r="G60" s="86">
        <v>-400.0</v>
      </c>
      <c r="H60" s="37">
        <f t="shared" si="1"/>
        <v>-14282.73</v>
      </c>
      <c r="I60" s="76"/>
    </row>
    <row r="61">
      <c r="A61" s="23" t="s">
        <v>19</v>
      </c>
      <c r="B61" s="82" t="s">
        <v>170</v>
      </c>
      <c r="C61" s="72"/>
      <c r="D61" s="118">
        <v>46227.0</v>
      </c>
      <c r="E61" s="74" t="s">
        <v>27</v>
      </c>
      <c r="F61" s="79"/>
      <c r="G61" s="86">
        <v>-1350.0</v>
      </c>
      <c r="H61" s="37">
        <f t="shared" si="1"/>
        <v>-15632.73</v>
      </c>
      <c r="I61" s="76"/>
    </row>
    <row r="62">
      <c r="A62" s="23" t="s">
        <v>19</v>
      </c>
      <c r="B62" s="82" t="s">
        <v>172</v>
      </c>
      <c r="C62" s="72"/>
      <c r="D62" s="119">
        <v>46227.0</v>
      </c>
      <c r="E62" s="74" t="s">
        <v>27</v>
      </c>
      <c r="F62" s="74" t="s">
        <v>62</v>
      </c>
      <c r="G62" s="86">
        <v>-550.28</v>
      </c>
      <c r="H62" s="37">
        <f t="shared" si="1"/>
        <v>-16183.01</v>
      </c>
      <c r="I62" s="76"/>
    </row>
    <row r="63">
      <c r="A63" s="23" t="s">
        <v>19</v>
      </c>
      <c r="B63" s="82" t="s">
        <v>175</v>
      </c>
      <c r="C63" s="87"/>
      <c r="D63" s="118">
        <v>46227.0</v>
      </c>
      <c r="E63" s="74" t="s">
        <v>27</v>
      </c>
      <c r="F63" s="88"/>
      <c r="G63" s="86">
        <v>-368.02</v>
      </c>
      <c r="H63" s="37">
        <f t="shared" si="1"/>
        <v>-16551.03</v>
      </c>
      <c r="I63" s="76"/>
    </row>
    <row r="64">
      <c r="A64" s="23" t="s">
        <v>19</v>
      </c>
      <c r="B64" s="82" t="s">
        <v>176</v>
      </c>
      <c r="C64" s="87"/>
      <c r="D64" s="119">
        <v>46227.0</v>
      </c>
      <c r="E64" s="74" t="s">
        <v>27</v>
      </c>
      <c r="F64" s="88"/>
      <c r="G64" s="86">
        <v>-297.67</v>
      </c>
      <c r="H64" s="37">
        <f t="shared" si="1"/>
        <v>-16848.7</v>
      </c>
      <c r="I64" s="76"/>
    </row>
    <row r="65">
      <c r="A65" s="23" t="s">
        <v>19</v>
      </c>
      <c r="B65" s="82" t="s">
        <v>177</v>
      </c>
      <c r="C65" s="87"/>
      <c r="D65" s="118">
        <v>46227.0</v>
      </c>
      <c r="E65" s="74" t="s">
        <v>27</v>
      </c>
      <c r="F65" s="88"/>
      <c r="G65" s="86">
        <v>-400.0</v>
      </c>
      <c r="H65" s="37">
        <f t="shared" si="1"/>
        <v>-17248.7</v>
      </c>
      <c r="I65" s="76"/>
    </row>
    <row r="66">
      <c r="A66" s="23" t="s">
        <v>19</v>
      </c>
      <c r="B66" s="120"/>
      <c r="C66" s="87"/>
      <c r="D66" s="121"/>
      <c r="E66" s="74" t="s">
        <v>27</v>
      </c>
      <c r="F66" s="88"/>
      <c r="G66" s="75">
        <v>0.0</v>
      </c>
      <c r="H66" s="37">
        <f t="shared" si="1"/>
        <v>-17248.7</v>
      </c>
      <c r="I66" s="76"/>
    </row>
    <row r="67">
      <c r="A67" s="122" t="s">
        <v>19</v>
      </c>
      <c r="B67" s="71" t="s">
        <v>140</v>
      </c>
      <c r="C67" s="123"/>
      <c r="D67" s="118">
        <v>46227.0</v>
      </c>
      <c r="E67" s="124" t="s">
        <v>27</v>
      </c>
      <c r="F67" s="125"/>
      <c r="G67" s="75">
        <v>-958.7</v>
      </c>
      <c r="H67" s="37">
        <f t="shared" si="1"/>
        <v>-18207.4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>
      <c r="A68" s="122" t="s">
        <v>19</v>
      </c>
      <c r="B68" s="71" t="s">
        <v>159</v>
      </c>
      <c r="C68" s="123"/>
      <c r="D68" s="119">
        <v>46227.0</v>
      </c>
      <c r="E68" s="124" t="s">
        <v>27</v>
      </c>
      <c r="F68" s="125"/>
      <c r="G68" s="75">
        <v>-102.0</v>
      </c>
      <c r="H68" s="37">
        <f t="shared" si="1"/>
        <v>-18309.4</v>
      </c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>
      <c r="A69" s="122" t="s">
        <v>19</v>
      </c>
      <c r="B69" s="71" t="s">
        <v>179</v>
      </c>
      <c r="C69" s="123"/>
      <c r="D69" s="118">
        <v>46227.0</v>
      </c>
      <c r="E69" s="124" t="s">
        <v>27</v>
      </c>
      <c r="F69" s="125"/>
      <c r="G69" s="75">
        <v>-900.0</v>
      </c>
      <c r="H69" s="37">
        <f t="shared" si="1"/>
        <v>-19209.4</v>
      </c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>
      <c r="A70" s="122" t="s">
        <v>19</v>
      </c>
      <c r="B70" s="71" t="s">
        <v>182</v>
      </c>
      <c r="C70" s="123"/>
      <c r="D70" s="73">
        <v>46227.0</v>
      </c>
      <c r="E70" s="124" t="s">
        <v>148</v>
      </c>
      <c r="F70" s="125"/>
      <c r="G70" s="75">
        <v>0.0</v>
      </c>
      <c r="H70" s="37">
        <f t="shared" si="1"/>
        <v>-19209.4</v>
      </c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>
      <c r="A71" s="122" t="s">
        <v>19</v>
      </c>
      <c r="B71" s="82" t="s">
        <v>69</v>
      </c>
      <c r="C71" s="123"/>
      <c r="D71" s="128">
        <v>46237.0</v>
      </c>
      <c r="E71" s="124" t="s">
        <v>27</v>
      </c>
      <c r="F71" s="125"/>
      <c r="G71" s="86">
        <v>-400.0</v>
      </c>
      <c r="H71" s="37">
        <f t="shared" si="1"/>
        <v>-19609.4</v>
      </c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>
      <c r="A72" s="122" t="s">
        <v>19</v>
      </c>
      <c r="B72" s="129" t="s">
        <v>113</v>
      </c>
      <c r="C72" s="123"/>
      <c r="D72" s="130">
        <v>46237.0</v>
      </c>
      <c r="E72" s="124" t="s">
        <v>27</v>
      </c>
      <c r="F72" s="125"/>
      <c r="G72" s="131">
        <v>-1480.0</v>
      </c>
      <c r="H72" s="37">
        <f t="shared" si="1"/>
        <v>-21089.4</v>
      </c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>
      <c r="A73" s="122" t="s">
        <v>19</v>
      </c>
      <c r="B73" s="132" t="s">
        <v>63</v>
      </c>
      <c r="C73" s="123"/>
      <c r="D73" s="133">
        <v>46237.0</v>
      </c>
      <c r="E73" s="124" t="s">
        <v>27</v>
      </c>
      <c r="F73" s="125"/>
      <c r="G73" s="134">
        <v>-368.02</v>
      </c>
      <c r="H73" s="37">
        <f t="shared" si="1"/>
        <v>-21457.42</v>
      </c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>
      <c r="A74" s="122" t="s">
        <v>19</v>
      </c>
      <c r="B74" s="132" t="s">
        <v>187</v>
      </c>
      <c r="C74" s="123"/>
      <c r="D74" s="133">
        <v>46237.0</v>
      </c>
      <c r="E74" s="124" t="s">
        <v>27</v>
      </c>
      <c r="F74" s="125"/>
      <c r="G74" s="134">
        <v>-400.0</v>
      </c>
      <c r="H74" s="37">
        <f t="shared" si="1"/>
        <v>-21857.42</v>
      </c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>
      <c r="A75" s="122" t="s">
        <v>19</v>
      </c>
      <c r="B75" s="132" t="s">
        <v>190</v>
      </c>
      <c r="C75" s="123"/>
      <c r="D75" s="133">
        <v>46239.0</v>
      </c>
      <c r="E75" s="124" t="s">
        <v>27</v>
      </c>
      <c r="F75" s="125"/>
      <c r="G75" s="134">
        <v>-302.15</v>
      </c>
      <c r="H75" s="37">
        <f t="shared" si="1"/>
        <v>-22159.57</v>
      </c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>
      <c r="A76" s="76"/>
      <c r="B76" s="76"/>
      <c r="C76" s="76"/>
      <c r="D76" s="76"/>
      <c r="E76" s="76"/>
      <c r="F76" s="76"/>
      <c r="G76" s="135"/>
      <c r="H76" s="135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>
      <c r="A77" s="76"/>
      <c r="B77" s="76"/>
      <c r="C77" s="76"/>
      <c r="D77" s="76"/>
      <c r="E77" s="76"/>
      <c r="F77" s="76"/>
      <c r="G77" s="135"/>
      <c r="H77" s="135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>
      <c r="A78" s="76"/>
      <c r="B78" s="76"/>
      <c r="C78" s="76"/>
      <c r="D78" s="76"/>
      <c r="E78" s="76"/>
      <c r="F78" s="76"/>
      <c r="G78" s="135"/>
      <c r="H78" s="135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>
      <c r="A79" s="76"/>
      <c r="B79" s="76"/>
      <c r="C79" s="76"/>
      <c r="D79" s="76"/>
      <c r="E79" s="76"/>
      <c r="F79" s="76"/>
      <c r="G79" s="135"/>
      <c r="H79" s="135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>
      <c r="A80" s="76"/>
      <c r="B80" s="76"/>
      <c r="C80" s="76"/>
      <c r="D80" s="76"/>
      <c r="E80" s="76"/>
      <c r="F80" s="76"/>
      <c r="G80" s="135"/>
      <c r="H80" s="135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>
      <c r="A81" s="76"/>
      <c r="B81" s="76"/>
      <c r="C81" s="76"/>
      <c r="D81" s="76"/>
      <c r="E81" s="76"/>
      <c r="F81" s="76"/>
      <c r="G81" s="135"/>
      <c r="H81" s="135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>
      <c r="A82" s="76"/>
      <c r="B82" s="76"/>
      <c r="C82" s="76"/>
      <c r="D82" s="76"/>
      <c r="E82" s="76"/>
      <c r="F82" s="76"/>
      <c r="G82" s="135"/>
      <c r="H82" s="135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>
      <c r="A83" s="76"/>
      <c r="B83" s="76"/>
      <c r="C83" s="76"/>
      <c r="D83" s="76"/>
      <c r="E83" s="76"/>
      <c r="F83" s="76"/>
      <c r="G83" s="135"/>
      <c r="H83" s="135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>
      <c r="A84" s="76"/>
      <c r="B84" s="76"/>
      <c r="C84" s="76"/>
      <c r="D84" s="76"/>
      <c r="E84" s="76"/>
      <c r="F84" s="76"/>
      <c r="G84" s="135"/>
      <c r="H84" s="135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>
      <c r="A85" s="76"/>
      <c r="B85" s="76"/>
      <c r="C85" s="76"/>
      <c r="D85" s="76"/>
      <c r="E85" s="76"/>
      <c r="F85" s="76"/>
      <c r="G85" s="135"/>
      <c r="H85" s="135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>
      <c r="A86" s="76"/>
      <c r="B86" s="76"/>
      <c r="C86" s="76"/>
      <c r="D86" s="76"/>
      <c r="E86" s="76"/>
      <c r="F86" s="76"/>
      <c r="G86" s="135"/>
      <c r="H86" s="135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>
      <c r="A87" s="76"/>
      <c r="B87" s="76"/>
      <c r="C87" s="76"/>
      <c r="D87" s="76"/>
      <c r="E87" s="76"/>
      <c r="F87" s="76"/>
      <c r="G87" s="135"/>
      <c r="H87" s="135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>
      <c r="A88" s="76"/>
      <c r="B88" s="76"/>
      <c r="C88" s="76"/>
      <c r="D88" s="76"/>
      <c r="E88" s="76"/>
      <c r="F88" s="76"/>
      <c r="G88" s="135"/>
      <c r="H88" s="135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>
      <c r="A89" s="76"/>
      <c r="B89" s="76"/>
      <c r="C89" s="76"/>
      <c r="D89" s="76"/>
      <c r="E89" s="76"/>
      <c r="F89" s="76"/>
      <c r="G89" s="135"/>
      <c r="H89" s="135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>
      <c r="A90" s="76"/>
      <c r="B90" s="76"/>
      <c r="C90" s="76"/>
      <c r="D90" s="76"/>
      <c r="E90" s="76"/>
      <c r="F90" s="76"/>
      <c r="G90" s="135"/>
      <c r="H90" s="135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>
      <c r="A91" s="76"/>
      <c r="B91" s="76"/>
      <c r="C91" s="76"/>
      <c r="D91" s="76"/>
      <c r="E91" s="76"/>
      <c r="F91" s="76"/>
      <c r="G91" s="135"/>
      <c r="H91" s="135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>
      <c r="A92" s="76"/>
      <c r="B92" s="76"/>
      <c r="C92" s="76"/>
      <c r="D92" s="76"/>
      <c r="E92" s="76"/>
      <c r="F92" s="76"/>
      <c r="G92" s="135"/>
      <c r="H92" s="135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>
      <c r="A93" s="76"/>
      <c r="B93" s="76"/>
      <c r="C93" s="76"/>
      <c r="D93" s="76"/>
      <c r="E93" s="76"/>
      <c r="F93" s="76"/>
      <c r="G93" s="135"/>
      <c r="H93" s="135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>
      <c r="A94" s="76"/>
      <c r="B94" s="76"/>
      <c r="C94" s="76"/>
      <c r="D94" s="76"/>
      <c r="E94" s="76"/>
      <c r="F94" s="76"/>
      <c r="G94" s="135"/>
      <c r="H94" s="135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>
      <c r="A95" s="76"/>
      <c r="B95" s="76"/>
      <c r="C95" s="76"/>
      <c r="D95" s="76"/>
      <c r="E95" s="76"/>
      <c r="F95" s="76"/>
      <c r="G95" s="135"/>
      <c r="H95" s="135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>
      <c r="A96" s="76"/>
      <c r="B96" s="76"/>
      <c r="C96" s="76"/>
      <c r="D96" s="76"/>
      <c r="E96" s="76"/>
      <c r="F96" s="76"/>
      <c r="G96" s="135"/>
      <c r="H96" s="135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>
      <c r="A97" s="76"/>
      <c r="B97" s="76"/>
      <c r="C97" s="76"/>
      <c r="D97" s="76"/>
      <c r="E97" s="76"/>
      <c r="F97" s="76"/>
      <c r="G97" s="135"/>
      <c r="H97" s="135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>
      <c r="A98" s="76"/>
      <c r="B98" s="76"/>
      <c r="C98" s="76"/>
      <c r="D98" s="76"/>
      <c r="E98" s="76"/>
      <c r="F98" s="76"/>
      <c r="G98" s="135"/>
      <c r="H98" s="135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>
      <c r="A99" s="76"/>
      <c r="B99" s="76"/>
      <c r="C99" s="76"/>
      <c r="D99" s="76"/>
      <c r="E99" s="76"/>
      <c r="F99" s="76"/>
      <c r="G99" s="135"/>
      <c r="H99" s="135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>
      <c r="A100" s="76"/>
      <c r="B100" s="76"/>
      <c r="C100" s="76"/>
      <c r="D100" s="76"/>
      <c r="E100" s="76"/>
      <c r="F100" s="76"/>
      <c r="G100" s="135"/>
      <c r="H100" s="135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>
      <c r="A101" s="76"/>
      <c r="B101" s="76"/>
      <c r="C101" s="76"/>
      <c r="D101" s="76"/>
      <c r="E101" s="76"/>
      <c r="F101" s="76"/>
      <c r="G101" s="135"/>
      <c r="H101" s="135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>
      <c r="A102" s="76"/>
      <c r="B102" s="76"/>
      <c r="C102" s="76"/>
      <c r="D102" s="76"/>
      <c r="E102" s="76"/>
      <c r="F102" s="76"/>
      <c r="G102" s="135"/>
      <c r="H102" s="135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>
      <c r="A103" s="76"/>
      <c r="B103" s="76"/>
      <c r="C103" s="76"/>
      <c r="D103" s="76"/>
      <c r="E103" s="76"/>
      <c r="F103" s="76"/>
      <c r="G103" s="135"/>
      <c r="H103" s="135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>
      <c r="A104" s="76"/>
      <c r="B104" s="76"/>
      <c r="C104" s="76"/>
      <c r="D104" s="76"/>
      <c r="E104" s="76"/>
      <c r="F104" s="76"/>
      <c r="G104" s="135"/>
      <c r="H104" s="135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>
      <c r="A105" s="76"/>
      <c r="B105" s="76"/>
      <c r="C105" s="76"/>
      <c r="D105" s="76"/>
      <c r="E105" s="76"/>
      <c r="F105" s="76"/>
      <c r="G105" s="135"/>
      <c r="H105" s="135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>
      <c r="A106" s="76"/>
      <c r="B106" s="76"/>
      <c r="C106" s="76"/>
      <c r="D106" s="76"/>
      <c r="E106" s="76"/>
      <c r="F106" s="76"/>
      <c r="G106" s="135"/>
      <c r="H106" s="135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>
      <c r="A107" s="76"/>
      <c r="B107" s="76"/>
      <c r="C107" s="76"/>
      <c r="D107" s="76"/>
      <c r="E107" s="76"/>
      <c r="F107" s="76"/>
      <c r="G107" s="135"/>
      <c r="H107" s="135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>
      <c r="A108" s="76"/>
      <c r="B108" s="76"/>
      <c r="C108" s="76"/>
      <c r="D108" s="76"/>
      <c r="E108" s="76"/>
      <c r="F108" s="76"/>
      <c r="G108" s="135"/>
      <c r="H108" s="135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>
      <c r="A109" s="76"/>
      <c r="B109" s="76"/>
      <c r="C109" s="76"/>
      <c r="D109" s="76"/>
      <c r="E109" s="76"/>
      <c r="F109" s="76"/>
      <c r="G109" s="135"/>
      <c r="H109" s="135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>
      <c r="A110" s="76"/>
      <c r="B110" s="76"/>
      <c r="C110" s="76"/>
      <c r="D110" s="76"/>
      <c r="E110" s="76"/>
      <c r="F110" s="76"/>
      <c r="G110" s="135"/>
      <c r="H110" s="135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>
      <c r="A111" s="76"/>
      <c r="B111" s="76"/>
      <c r="C111" s="76"/>
      <c r="D111" s="76"/>
      <c r="E111" s="76"/>
      <c r="F111" s="76"/>
      <c r="G111" s="135"/>
      <c r="H111" s="135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>
      <c r="A112" s="76"/>
      <c r="B112" s="76"/>
      <c r="C112" s="76"/>
      <c r="D112" s="76"/>
      <c r="E112" s="76"/>
      <c r="F112" s="76"/>
      <c r="G112" s="135"/>
      <c r="H112" s="135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>
      <c r="A113" s="76"/>
      <c r="B113" s="76"/>
      <c r="C113" s="76"/>
      <c r="D113" s="76"/>
      <c r="E113" s="76"/>
      <c r="F113" s="76"/>
      <c r="G113" s="135"/>
      <c r="H113" s="135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>
      <c r="A114" s="76"/>
      <c r="B114" s="76"/>
      <c r="C114" s="76"/>
      <c r="D114" s="76"/>
      <c r="E114" s="76"/>
      <c r="F114" s="76"/>
      <c r="G114" s="135"/>
      <c r="H114" s="135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>
      <c r="A115" s="76"/>
      <c r="B115" s="76"/>
      <c r="C115" s="76"/>
      <c r="D115" s="76"/>
      <c r="E115" s="76"/>
      <c r="F115" s="76"/>
      <c r="G115" s="135"/>
      <c r="H115" s="135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>
      <c r="A116" s="76"/>
      <c r="B116" s="76"/>
      <c r="C116" s="76"/>
      <c r="D116" s="76"/>
      <c r="E116" s="76"/>
      <c r="F116" s="76"/>
      <c r="G116" s="135"/>
      <c r="H116" s="135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>
      <c r="A117" s="76"/>
      <c r="B117" s="76"/>
      <c r="C117" s="76"/>
      <c r="D117" s="76"/>
      <c r="E117" s="76"/>
      <c r="F117" s="76"/>
      <c r="G117" s="135"/>
      <c r="H117" s="135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>
      <c r="A118" s="76"/>
      <c r="B118" s="76"/>
      <c r="C118" s="76"/>
      <c r="D118" s="76"/>
      <c r="E118" s="76"/>
      <c r="F118" s="76"/>
      <c r="G118" s="135"/>
      <c r="H118" s="135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>
      <c r="A119" s="76"/>
      <c r="B119" s="76"/>
      <c r="C119" s="76"/>
      <c r="D119" s="76"/>
      <c r="E119" s="76"/>
      <c r="F119" s="76"/>
      <c r="G119" s="135"/>
      <c r="H119" s="135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>
      <c r="A120" s="76"/>
      <c r="B120" s="76"/>
      <c r="C120" s="76"/>
      <c r="D120" s="76"/>
      <c r="E120" s="76"/>
      <c r="F120" s="76"/>
      <c r="G120" s="135"/>
      <c r="H120" s="135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>
      <c r="A121" s="76"/>
      <c r="B121" s="76"/>
      <c r="C121" s="76"/>
      <c r="D121" s="76"/>
      <c r="E121" s="76"/>
      <c r="F121" s="76"/>
      <c r="G121" s="135"/>
      <c r="H121" s="135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>
      <c r="A122" s="76"/>
      <c r="B122" s="76"/>
      <c r="C122" s="76"/>
      <c r="D122" s="76"/>
      <c r="E122" s="76"/>
      <c r="F122" s="76"/>
      <c r="G122" s="135"/>
      <c r="H122" s="135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>
      <c r="A123" s="76"/>
      <c r="B123" s="76"/>
      <c r="C123" s="76"/>
      <c r="D123" s="76"/>
      <c r="E123" s="76"/>
      <c r="F123" s="76"/>
      <c r="G123" s="135"/>
      <c r="H123" s="135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>
      <c r="A124" s="76"/>
      <c r="B124" s="76"/>
      <c r="C124" s="76"/>
      <c r="D124" s="76"/>
      <c r="E124" s="76"/>
      <c r="F124" s="76"/>
      <c r="G124" s="135"/>
      <c r="H124" s="135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>
      <c r="A125" s="76"/>
      <c r="B125" s="76"/>
      <c r="C125" s="76"/>
      <c r="D125" s="76"/>
      <c r="E125" s="76"/>
      <c r="F125" s="76"/>
      <c r="G125" s="135"/>
      <c r="H125" s="135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>
      <c r="A126" s="76"/>
      <c r="B126" s="76"/>
      <c r="C126" s="76"/>
      <c r="D126" s="76"/>
      <c r="E126" s="76"/>
      <c r="F126" s="76"/>
      <c r="G126" s="135"/>
      <c r="H126" s="135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>
      <c r="A127" s="76"/>
      <c r="B127" s="76"/>
      <c r="C127" s="76"/>
      <c r="D127" s="76"/>
      <c r="E127" s="76"/>
      <c r="F127" s="76"/>
      <c r="G127" s="135"/>
      <c r="H127" s="135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>
      <c r="A128" s="76"/>
      <c r="B128" s="76"/>
      <c r="C128" s="76"/>
      <c r="D128" s="76"/>
      <c r="E128" s="76"/>
      <c r="F128" s="76"/>
      <c r="G128" s="135"/>
      <c r="H128" s="135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>
      <c r="A129" s="76"/>
      <c r="B129" s="76"/>
      <c r="C129" s="76"/>
      <c r="D129" s="76"/>
      <c r="E129" s="76"/>
      <c r="F129" s="76"/>
      <c r="G129" s="135"/>
      <c r="H129" s="135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>
      <c r="A130" s="76"/>
      <c r="B130" s="76"/>
      <c r="C130" s="76"/>
      <c r="D130" s="76"/>
      <c r="E130" s="76"/>
      <c r="F130" s="76"/>
      <c r="G130" s="135"/>
      <c r="H130" s="135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>
      <c r="A131" s="76"/>
      <c r="B131" s="76"/>
      <c r="C131" s="76"/>
      <c r="D131" s="76"/>
      <c r="E131" s="76"/>
      <c r="F131" s="76"/>
      <c r="G131" s="135"/>
      <c r="H131" s="135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>
      <c r="A132" s="76"/>
      <c r="B132" s="76"/>
      <c r="C132" s="76"/>
      <c r="D132" s="76"/>
      <c r="E132" s="76"/>
      <c r="F132" s="76"/>
      <c r="G132" s="135"/>
      <c r="H132" s="135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>
      <c r="A133" s="76"/>
      <c r="B133" s="76"/>
      <c r="C133" s="76"/>
      <c r="D133" s="76"/>
      <c r="E133" s="76"/>
      <c r="F133" s="76"/>
      <c r="G133" s="135"/>
      <c r="H133" s="135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>
      <c r="A134" s="76"/>
      <c r="B134" s="76"/>
      <c r="C134" s="76"/>
      <c r="D134" s="76"/>
      <c r="E134" s="76"/>
      <c r="F134" s="76"/>
      <c r="G134" s="135"/>
      <c r="H134" s="135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>
      <c r="A135" s="76"/>
      <c r="B135" s="76"/>
      <c r="C135" s="76"/>
      <c r="D135" s="76"/>
      <c r="E135" s="76"/>
      <c r="F135" s="76"/>
      <c r="G135" s="135"/>
      <c r="H135" s="135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>
      <c r="A136" s="76"/>
      <c r="B136" s="76"/>
      <c r="C136" s="76"/>
      <c r="D136" s="76"/>
      <c r="E136" s="76"/>
      <c r="F136" s="76"/>
      <c r="G136" s="135"/>
      <c r="H136" s="135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>
      <c r="A137" s="76"/>
      <c r="B137" s="76"/>
      <c r="C137" s="76"/>
      <c r="D137" s="76"/>
      <c r="E137" s="76"/>
      <c r="F137" s="76"/>
      <c r="G137" s="135"/>
      <c r="H137" s="135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>
      <c r="A138" s="76"/>
      <c r="B138" s="76"/>
      <c r="C138" s="76"/>
      <c r="D138" s="76"/>
      <c r="E138" s="76"/>
      <c r="F138" s="76"/>
      <c r="G138" s="135"/>
      <c r="H138" s="135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>
      <c r="A139" s="76"/>
      <c r="B139" s="76"/>
      <c r="C139" s="76"/>
      <c r="D139" s="76"/>
      <c r="E139" s="76"/>
      <c r="F139" s="76"/>
      <c r="G139" s="135"/>
      <c r="H139" s="135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>
      <c r="A140" s="76"/>
      <c r="B140" s="76"/>
      <c r="C140" s="76"/>
      <c r="D140" s="76"/>
      <c r="E140" s="76"/>
      <c r="F140" s="76"/>
      <c r="G140" s="135"/>
      <c r="H140" s="135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>
      <c r="A141" s="76"/>
      <c r="B141" s="76"/>
      <c r="C141" s="76"/>
      <c r="D141" s="76"/>
      <c r="E141" s="76"/>
      <c r="F141" s="76"/>
      <c r="G141" s="135"/>
      <c r="H141" s="135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>
      <c r="A142" s="76"/>
      <c r="B142" s="76"/>
      <c r="C142" s="76"/>
      <c r="D142" s="76"/>
      <c r="E142" s="76"/>
      <c r="F142" s="76"/>
      <c r="G142" s="135"/>
      <c r="H142" s="135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>
      <c r="A143" s="76"/>
      <c r="B143" s="76"/>
      <c r="C143" s="76"/>
      <c r="D143" s="76"/>
      <c r="E143" s="76"/>
      <c r="F143" s="76"/>
      <c r="G143" s="135"/>
      <c r="H143" s="135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>
      <c r="A144" s="76"/>
      <c r="B144" s="76"/>
      <c r="C144" s="76"/>
      <c r="D144" s="76"/>
      <c r="E144" s="76"/>
      <c r="F144" s="76"/>
      <c r="G144" s="135"/>
      <c r="H144" s="135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>
      <c r="A145" s="76"/>
      <c r="B145" s="76"/>
      <c r="C145" s="76"/>
      <c r="D145" s="76"/>
      <c r="E145" s="76"/>
      <c r="F145" s="76"/>
      <c r="G145" s="135"/>
      <c r="H145" s="135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>
      <c r="A146" s="76"/>
      <c r="B146" s="76"/>
      <c r="C146" s="76"/>
      <c r="D146" s="76"/>
      <c r="E146" s="76"/>
      <c r="F146" s="76"/>
      <c r="G146" s="135"/>
      <c r="H146" s="135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>
      <c r="A147" s="76"/>
      <c r="B147" s="76"/>
      <c r="C147" s="76"/>
      <c r="D147" s="76"/>
      <c r="E147" s="76"/>
      <c r="F147" s="76"/>
      <c r="G147" s="135"/>
      <c r="H147" s="135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>
      <c r="A148" s="76"/>
      <c r="B148" s="76"/>
      <c r="C148" s="76"/>
      <c r="D148" s="76"/>
      <c r="E148" s="76"/>
      <c r="F148" s="76"/>
      <c r="G148" s="135"/>
      <c r="H148" s="135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>
      <c r="A149" s="76"/>
      <c r="B149" s="76"/>
      <c r="C149" s="76"/>
      <c r="D149" s="76"/>
      <c r="E149" s="76"/>
      <c r="F149" s="76"/>
      <c r="G149" s="135"/>
      <c r="H149" s="135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>
      <c r="A150" s="76"/>
      <c r="B150" s="76"/>
      <c r="C150" s="76"/>
      <c r="D150" s="76"/>
      <c r="E150" s="76"/>
      <c r="F150" s="76"/>
      <c r="G150" s="135"/>
      <c r="H150" s="135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>
      <c r="A151" s="76"/>
      <c r="B151" s="76"/>
      <c r="C151" s="76"/>
      <c r="D151" s="76"/>
      <c r="E151" s="76"/>
      <c r="F151" s="76"/>
      <c r="G151" s="135"/>
      <c r="H151" s="135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>
      <c r="A152" s="76"/>
      <c r="B152" s="76"/>
      <c r="C152" s="76"/>
      <c r="D152" s="76"/>
      <c r="E152" s="76"/>
      <c r="F152" s="76"/>
      <c r="G152" s="135"/>
      <c r="H152" s="135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>
      <c r="A153" s="76"/>
      <c r="B153" s="76"/>
      <c r="C153" s="76"/>
      <c r="D153" s="76"/>
      <c r="E153" s="76"/>
      <c r="F153" s="76"/>
      <c r="G153" s="135"/>
      <c r="H153" s="135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>
      <c r="A154" s="76"/>
      <c r="B154" s="76"/>
      <c r="C154" s="76"/>
      <c r="D154" s="76"/>
      <c r="E154" s="76"/>
      <c r="F154" s="76"/>
      <c r="G154" s="135"/>
      <c r="H154" s="135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>
      <c r="A155" s="76"/>
      <c r="B155" s="76"/>
      <c r="C155" s="76"/>
      <c r="D155" s="76"/>
      <c r="E155" s="76"/>
      <c r="F155" s="76"/>
      <c r="G155" s="135"/>
      <c r="H155" s="135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>
      <c r="A156" s="76"/>
      <c r="B156" s="76"/>
      <c r="C156" s="76"/>
      <c r="D156" s="76"/>
      <c r="E156" s="76"/>
      <c r="F156" s="76"/>
      <c r="G156" s="135"/>
      <c r="H156" s="135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>
      <c r="A157" s="76"/>
      <c r="B157" s="76"/>
      <c r="C157" s="76"/>
      <c r="D157" s="76"/>
      <c r="E157" s="76"/>
      <c r="F157" s="76"/>
      <c r="G157" s="135"/>
      <c r="H157" s="135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>
      <c r="A158" s="76"/>
      <c r="B158" s="76"/>
      <c r="C158" s="76"/>
      <c r="D158" s="76"/>
      <c r="E158" s="76"/>
      <c r="F158" s="76"/>
      <c r="G158" s="135"/>
      <c r="H158" s="135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>
      <c r="A159" s="76"/>
      <c r="B159" s="76"/>
      <c r="C159" s="76"/>
      <c r="D159" s="76"/>
      <c r="E159" s="76"/>
      <c r="F159" s="76"/>
      <c r="G159" s="135"/>
      <c r="H159" s="135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>
      <c r="A160" s="76"/>
      <c r="B160" s="76"/>
      <c r="C160" s="76"/>
      <c r="D160" s="76"/>
      <c r="E160" s="76"/>
      <c r="F160" s="76"/>
      <c r="G160" s="135"/>
      <c r="H160" s="135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>
      <c r="A161" s="76"/>
      <c r="B161" s="76"/>
      <c r="C161" s="76"/>
      <c r="D161" s="76"/>
      <c r="E161" s="76"/>
      <c r="F161" s="76"/>
      <c r="G161" s="135"/>
      <c r="H161" s="135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>
      <c r="A162" s="76"/>
      <c r="B162" s="76"/>
      <c r="C162" s="76"/>
      <c r="D162" s="76"/>
      <c r="E162" s="76"/>
      <c r="F162" s="76"/>
      <c r="G162" s="135"/>
      <c r="H162" s="135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>
      <c r="A163" s="76"/>
      <c r="B163" s="76"/>
      <c r="C163" s="76"/>
      <c r="D163" s="76"/>
      <c r="E163" s="76"/>
      <c r="F163" s="76"/>
      <c r="G163" s="135"/>
      <c r="H163" s="135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>
      <c r="A164" s="76"/>
      <c r="B164" s="76"/>
      <c r="C164" s="76"/>
      <c r="D164" s="76"/>
      <c r="E164" s="76"/>
      <c r="F164" s="76"/>
      <c r="G164" s="135"/>
      <c r="H164" s="135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>
      <c r="A165" s="76"/>
      <c r="B165" s="76"/>
      <c r="C165" s="76"/>
      <c r="D165" s="76"/>
      <c r="E165" s="76"/>
      <c r="F165" s="76"/>
      <c r="G165" s="135"/>
      <c r="H165" s="135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>
      <c r="A166" s="76"/>
      <c r="B166" s="76"/>
      <c r="C166" s="76"/>
      <c r="D166" s="76"/>
      <c r="E166" s="76"/>
      <c r="F166" s="76"/>
      <c r="G166" s="135"/>
      <c r="H166" s="135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>
      <c r="A167" s="76"/>
      <c r="B167" s="76"/>
      <c r="C167" s="76"/>
      <c r="D167" s="76"/>
      <c r="E167" s="76"/>
      <c r="F167" s="76"/>
      <c r="G167" s="135"/>
      <c r="H167" s="135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>
      <c r="A168" s="76"/>
      <c r="B168" s="76"/>
      <c r="C168" s="76"/>
      <c r="D168" s="76"/>
      <c r="E168" s="76"/>
      <c r="F168" s="76"/>
      <c r="G168" s="135"/>
      <c r="H168" s="135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>
      <c r="A169" s="76"/>
      <c r="B169" s="76"/>
      <c r="C169" s="76"/>
      <c r="D169" s="76"/>
      <c r="E169" s="76"/>
      <c r="F169" s="76"/>
      <c r="G169" s="135"/>
      <c r="H169" s="135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>
      <c r="A170" s="76"/>
      <c r="B170" s="76"/>
      <c r="C170" s="76"/>
      <c r="D170" s="76"/>
      <c r="E170" s="76"/>
      <c r="F170" s="76"/>
      <c r="G170" s="135"/>
      <c r="H170" s="135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>
      <c r="A171" s="76"/>
      <c r="B171" s="76"/>
      <c r="C171" s="76"/>
      <c r="D171" s="76"/>
      <c r="E171" s="76"/>
      <c r="F171" s="76"/>
      <c r="G171" s="135"/>
      <c r="H171" s="135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>
      <c r="A172" s="76"/>
      <c r="B172" s="76"/>
      <c r="C172" s="76"/>
      <c r="D172" s="76"/>
      <c r="E172" s="76"/>
      <c r="F172" s="76"/>
      <c r="G172" s="135"/>
      <c r="H172" s="135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>
      <c r="A173" s="76"/>
      <c r="B173" s="76"/>
      <c r="C173" s="76"/>
      <c r="D173" s="76"/>
      <c r="E173" s="76"/>
      <c r="F173" s="76"/>
      <c r="G173" s="135"/>
      <c r="H173" s="135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>
      <c r="A174" s="76"/>
      <c r="B174" s="76"/>
      <c r="C174" s="76"/>
      <c r="D174" s="76"/>
      <c r="E174" s="76"/>
      <c r="F174" s="76"/>
      <c r="G174" s="135"/>
      <c r="H174" s="135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>
      <c r="A175" s="76"/>
      <c r="B175" s="76"/>
      <c r="C175" s="76"/>
      <c r="D175" s="76"/>
      <c r="E175" s="76"/>
      <c r="F175" s="76"/>
      <c r="G175" s="135"/>
      <c r="H175" s="135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>
      <c r="A176" s="76"/>
      <c r="B176" s="76"/>
      <c r="C176" s="76"/>
      <c r="D176" s="76"/>
      <c r="E176" s="76"/>
      <c r="F176" s="76"/>
      <c r="G176" s="135"/>
      <c r="H176" s="135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>
      <c r="A177" s="76"/>
      <c r="B177" s="76"/>
      <c r="C177" s="76"/>
      <c r="D177" s="76"/>
      <c r="E177" s="76"/>
      <c r="F177" s="76"/>
      <c r="G177" s="135"/>
      <c r="H177" s="135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>
      <c r="A178" s="76"/>
      <c r="B178" s="76"/>
      <c r="C178" s="76"/>
      <c r="D178" s="76"/>
      <c r="E178" s="76"/>
      <c r="F178" s="76"/>
      <c r="G178" s="135"/>
      <c r="H178" s="135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>
      <c r="A179" s="76"/>
      <c r="B179" s="76"/>
      <c r="C179" s="76"/>
      <c r="D179" s="76"/>
      <c r="E179" s="76"/>
      <c r="F179" s="76"/>
      <c r="G179" s="135"/>
      <c r="H179" s="135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>
      <c r="A180" s="76"/>
      <c r="B180" s="76"/>
      <c r="C180" s="76"/>
      <c r="D180" s="76"/>
      <c r="E180" s="76"/>
      <c r="F180" s="76"/>
      <c r="G180" s="135"/>
      <c r="H180" s="135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>
      <c r="A181" s="76"/>
      <c r="B181" s="76"/>
      <c r="C181" s="76"/>
      <c r="D181" s="76"/>
      <c r="E181" s="76"/>
      <c r="F181" s="76"/>
      <c r="G181" s="135"/>
      <c r="H181" s="135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>
      <c r="A182" s="76"/>
      <c r="B182" s="76"/>
      <c r="C182" s="76"/>
      <c r="D182" s="76"/>
      <c r="E182" s="76"/>
      <c r="F182" s="76"/>
      <c r="G182" s="135"/>
      <c r="H182" s="135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>
      <c r="A183" s="76"/>
      <c r="B183" s="76"/>
      <c r="C183" s="76"/>
      <c r="D183" s="76"/>
      <c r="E183" s="76"/>
      <c r="F183" s="76"/>
      <c r="G183" s="135"/>
      <c r="H183" s="135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>
      <c r="A184" s="76"/>
      <c r="B184" s="76"/>
      <c r="C184" s="76"/>
      <c r="D184" s="76"/>
      <c r="E184" s="76"/>
      <c r="F184" s="76"/>
      <c r="G184" s="135"/>
      <c r="H184" s="135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>
      <c r="A185" s="76"/>
      <c r="B185" s="76"/>
      <c r="C185" s="76"/>
      <c r="D185" s="76"/>
      <c r="E185" s="76"/>
      <c r="F185" s="76"/>
      <c r="G185" s="135"/>
      <c r="H185" s="135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>
      <c r="A186" s="76"/>
      <c r="B186" s="76"/>
      <c r="C186" s="76"/>
      <c r="D186" s="76"/>
      <c r="E186" s="76"/>
      <c r="F186" s="76"/>
      <c r="G186" s="135"/>
      <c r="H186" s="135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>
      <c r="A187" s="76"/>
      <c r="B187" s="76"/>
      <c r="C187" s="76"/>
      <c r="D187" s="76"/>
      <c r="E187" s="76"/>
      <c r="F187" s="76"/>
      <c r="G187" s="135"/>
      <c r="H187" s="135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>
      <c r="A188" s="76"/>
      <c r="B188" s="76"/>
      <c r="C188" s="76"/>
      <c r="D188" s="76"/>
      <c r="E188" s="76"/>
      <c r="F188" s="76"/>
      <c r="G188" s="135"/>
      <c r="H188" s="135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>
      <c r="A189" s="76"/>
      <c r="B189" s="76"/>
      <c r="C189" s="76"/>
      <c r="D189" s="76"/>
      <c r="E189" s="76"/>
      <c r="F189" s="76"/>
      <c r="G189" s="135"/>
      <c r="H189" s="135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>
      <c r="A190" s="76"/>
      <c r="B190" s="76"/>
      <c r="C190" s="76"/>
      <c r="D190" s="76"/>
      <c r="E190" s="76"/>
      <c r="F190" s="76"/>
      <c r="G190" s="135"/>
      <c r="H190" s="135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>
      <c r="A191" s="76"/>
      <c r="B191" s="76"/>
      <c r="C191" s="76"/>
      <c r="D191" s="76"/>
      <c r="E191" s="76"/>
      <c r="F191" s="76"/>
      <c r="G191" s="135"/>
      <c r="H191" s="135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>
      <c r="A192" s="76"/>
      <c r="B192" s="76"/>
      <c r="C192" s="76"/>
      <c r="D192" s="76"/>
      <c r="E192" s="76"/>
      <c r="F192" s="76"/>
      <c r="G192" s="135"/>
      <c r="H192" s="135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>
      <c r="A193" s="76"/>
      <c r="B193" s="76"/>
      <c r="C193" s="76"/>
      <c r="D193" s="76"/>
      <c r="E193" s="76"/>
      <c r="F193" s="76"/>
      <c r="G193" s="135"/>
      <c r="H193" s="135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>
      <c r="A194" s="76"/>
      <c r="B194" s="76"/>
      <c r="C194" s="76"/>
      <c r="D194" s="76"/>
      <c r="E194" s="76"/>
      <c r="F194" s="76"/>
      <c r="G194" s="135"/>
      <c r="H194" s="135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>
      <c r="A195" s="76"/>
      <c r="B195" s="76"/>
      <c r="C195" s="76"/>
      <c r="D195" s="76"/>
      <c r="E195" s="76"/>
      <c r="F195" s="76"/>
      <c r="G195" s="135"/>
      <c r="H195" s="135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>
      <c r="A196" s="76"/>
      <c r="B196" s="76"/>
      <c r="C196" s="76"/>
      <c r="D196" s="76"/>
      <c r="E196" s="76"/>
      <c r="F196" s="76"/>
      <c r="G196" s="135"/>
      <c r="H196" s="135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>
      <c r="A197" s="76"/>
      <c r="B197" s="76"/>
      <c r="C197" s="76"/>
      <c r="D197" s="76"/>
      <c r="E197" s="76"/>
      <c r="F197" s="76"/>
      <c r="G197" s="135"/>
      <c r="H197" s="135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>
      <c r="A198" s="76"/>
      <c r="B198" s="76"/>
      <c r="C198" s="76"/>
      <c r="D198" s="76"/>
      <c r="E198" s="76"/>
      <c r="F198" s="76"/>
      <c r="G198" s="135"/>
      <c r="H198" s="135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>
      <c r="A199" s="76"/>
      <c r="B199" s="76"/>
      <c r="C199" s="76"/>
      <c r="D199" s="76"/>
      <c r="E199" s="76"/>
      <c r="F199" s="76"/>
      <c r="G199" s="135"/>
      <c r="H199" s="135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>
      <c r="A200" s="76"/>
      <c r="B200" s="76"/>
      <c r="C200" s="76"/>
      <c r="D200" s="76"/>
      <c r="E200" s="76"/>
      <c r="F200" s="76"/>
      <c r="G200" s="135"/>
      <c r="H200" s="135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>
      <c r="A201" s="76"/>
      <c r="B201" s="76"/>
      <c r="C201" s="76"/>
      <c r="D201" s="76"/>
      <c r="E201" s="76"/>
      <c r="F201" s="76"/>
      <c r="G201" s="135"/>
      <c r="H201" s="135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>
      <c r="A202" s="76"/>
      <c r="B202" s="76"/>
      <c r="C202" s="76"/>
      <c r="D202" s="76"/>
      <c r="E202" s="76"/>
      <c r="F202" s="76"/>
      <c r="G202" s="135"/>
      <c r="H202" s="135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>
      <c r="A203" s="76"/>
      <c r="B203" s="76"/>
      <c r="C203" s="76"/>
      <c r="D203" s="76"/>
      <c r="E203" s="76"/>
      <c r="F203" s="76"/>
      <c r="G203" s="135"/>
      <c r="H203" s="135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>
      <c r="A204" s="76"/>
      <c r="B204" s="76"/>
      <c r="C204" s="76"/>
      <c r="D204" s="76"/>
      <c r="E204" s="76"/>
      <c r="F204" s="76"/>
      <c r="G204" s="135"/>
      <c r="H204" s="135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>
      <c r="A205" s="76"/>
      <c r="B205" s="76"/>
      <c r="C205" s="76"/>
      <c r="D205" s="76"/>
      <c r="E205" s="76"/>
      <c r="F205" s="76"/>
      <c r="G205" s="135"/>
      <c r="H205" s="135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>
      <c r="A206" s="76"/>
      <c r="B206" s="76"/>
      <c r="C206" s="76"/>
      <c r="D206" s="76"/>
      <c r="E206" s="76"/>
      <c r="F206" s="76"/>
      <c r="G206" s="135"/>
      <c r="H206" s="135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>
      <c r="A207" s="76"/>
      <c r="B207" s="76"/>
      <c r="C207" s="76"/>
      <c r="D207" s="76"/>
      <c r="E207" s="76"/>
      <c r="F207" s="76"/>
      <c r="G207" s="135"/>
      <c r="H207" s="135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>
      <c r="A208" s="76"/>
      <c r="B208" s="76"/>
      <c r="C208" s="76"/>
      <c r="D208" s="76"/>
      <c r="E208" s="76"/>
      <c r="F208" s="76"/>
      <c r="G208" s="135"/>
      <c r="H208" s="135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>
      <c r="A209" s="76"/>
      <c r="B209" s="76"/>
      <c r="C209" s="76"/>
      <c r="D209" s="76"/>
      <c r="E209" s="76"/>
      <c r="F209" s="76"/>
      <c r="G209" s="135"/>
      <c r="H209" s="135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>
      <c r="A210" s="76"/>
      <c r="B210" s="76"/>
      <c r="C210" s="76"/>
      <c r="D210" s="76"/>
      <c r="E210" s="76"/>
      <c r="F210" s="76"/>
      <c r="G210" s="135"/>
      <c r="H210" s="135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>
      <c r="A211" s="76"/>
      <c r="B211" s="76"/>
      <c r="C211" s="76"/>
      <c r="D211" s="76"/>
      <c r="E211" s="76"/>
      <c r="F211" s="76"/>
      <c r="G211" s="135"/>
      <c r="H211" s="135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>
      <c r="A212" s="76"/>
      <c r="B212" s="76"/>
      <c r="C212" s="76"/>
      <c r="D212" s="76"/>
      <c r="E212" s="76"/>
      <c r="F212" s="76"/>
      <c r="G212" s="135"/>
      <c r="H212" s="135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>
      <c r="A213" s="76"/>
      <c r="B213" s="76"/>
      <c r="C213" s="76"/>
      <c r="D213" s="76"/>
      <c r="E213" s="76"/>
      <c r="F213" s="76"/>
      <c r="G213" s="135"/>
      <c r="H213" s="135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>
      <c r="A214" s="76"/>
      <c r="B214" s="76"/>
      <c r="C214" s="76"/>
      <c r="D214" s="76"/>
      <c r="E214" s="76"/>
      <c r="F214" s="76"/>
      <c r="G214" s="135"/>
      <c r="H214" s="135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>
      <c r="A215" s="76"/>
      <c r="B215" s="76"/>
      <c r="C215" s="76"/>
      <c r="D215" s="76"/>
      <c r="E215" s="76"/>
      <c r="F215" s="76"/>
      <c r="G215" s="135"/>
      <c r="H215" s="135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>
      <c r="A216" s="76"/>
      <c r="B216" s="76"/>
      <c r="C216" s="76"/>
      <c r="D216" s="76"/>
      <c r="E216" s="76"/>
      <c r="F216" s="76"/>
      <c r="G216" s="135"/>
      <c r="H216" s="135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>
      <c r="A217" s="76"/>
      <c r="B217" s="76"/>
      <c r="C217" s="76"/>
      <c r="D217" s="76"/>
      <c r="E217" s="76"/>
      <c r="F217" s="76"/>
      <c r="G217" s="135"/>
      <c r="H217" s="135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>
      <c r="A218" s="76"/>
      <c r="B218" s="76"/>
      <c r="C218" s="76"/>
      <c r="D218" s="76"/>
      <c r="E218" s="76"/>
      <c r="F218" s="76"/>
      <c r="G218" s="135"/>
      <c r="H218" s="135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>
      <c r="A219" s="76"/>
      <c r="B219" s="76"/>
      <c r="C219" s="76"/>
      <c r="D219" s="76"/>
      <c r="E219" s="76"/>
      <c r="F219" s="76"/>
      <c r="G219" s="135"/>
      <c r="H219" s="135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>
      <c r="A220" s="76"/>
      <c r="B220" s="76"/>
      <c r="C220" s="76"/>
      <c r="D220" s="76"/>
      <c r="E220" s="76"/>
      <c r="F220" s="76"/>
      <c r="G220" s="135"/>
      <c r="H220" s="135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>
      <c r="A221" s="76"/>
      <c r="B221" s="76"/>
      <c r="C221" s="76"/>
      <c r="D221" s="76"/>
      <c r="E221" s="76"/>
      <c r="F221" s="76"/>
      <c r="G221" s="135"/>
      <c r="H221" s="135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>
      <c r="A222" s="76"/>
      <c r="B222" s="76"/>
      <c r="C222" s="76"/>
      <c r="D222" s="76"/>
      <c r="E222" s="76"/>
      <c r="F222" s="76"/>
      <c r="G222" s="135"/>
      <c r="H222" s="135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>
      <c r="A223" s="76"/>
      <c r="B223" s="76"/>
      <c r="C223" s="76"/>
      <c r="D223" s="76"/>
      <c r="E223" s="76"/>
      <c r="F223" s="76"/>
      <c r="G223" s="135"/>
      <c r="H223" s="135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>
      <c r="A224" s="76"/>
      <c r="B224" s="76"/>
      <c r="C224" s="76"/>
      <c r="D224" s="76"/>
      <c r="E224" s="76"/>
      <c r="F224" s="76"/>
      <c r="G224" s="135"/>
      <c r="H224" s="135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>
      <c r="A225" s="76"/>
      <c r="B225" s="76"/>
      <c r="C225" s="76"/>
      <c r="D225" s="76"/>
      <c r="E225" s="76"/>
      <c r="F225" s="76"/>
      <c r="G225" s="135"/>
      <c r="H225" s="135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>
      <c r="A226" s="76"/>
      <c r="B226" s="76"/>
      <c r="C226" s="76"/>
      <c r="D226" s="76"/>
      <c r="E226" s="76"/>
      <c r="F226" s="76"/>
      <c r="G226" s="135"/>
      <c r="H226" s="135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>
      <c r="A227" s="76"/>
      <c r="B227" s="76"/>
      <c r="C227" s="76"/>
      <c r="D227" s="76"/>
      <c r="E227" s="76"/>
      <c r="F227" s="76"/>
      <c r="G227" s="135"/>
      <c r="H227" s="135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>
      <c r="A228" s="76"/>
      <c r="B228" s="76"/>
      <c r="C228" s="76"/>
      <c r="D228" s="76"/>
      <c r="E228" s="76"/>
      <c r="F228" s="76"/>
      <c r="G228" s="135"/>
      <c r="H228" s="135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>
      <c r="A229" s="76"/>
      <c r="B229" s="76"/>
      <c r="C229" s="76"/>
      <c r="D229" s="76"/>
      <c r="E229" s="76"/>
      <c r="F229" s="76"/>
      <c r="G229" s="135"/>
      <c r="H229" s="135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>
      <c r="A230" s="76"/>
      <c r="B230" s="76"/>
      <c r="C230" s="76"/>
      <c r="D230" s="76"/>
      <c r="E230" s="76"/>
      <c r="F230" s="76"/>
      <c r="G230" s="135"/>
      <c r="H230" s="135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>
      <c r="A231" s="76"/>
      <c r="B231" s="76"/>
      <c r="C231" s="76"/>
      <c r="D231" s="76"/>
      <c r="E231" s="76"/>
      <c r="F231" s="76"/>
      <c r="G231" s="135"/>
      <c r="H231" s="135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>
      <c r="A232" s="76"/>
      <c r="B232" s="76"/>
      <c r="C232" s="76"/>
      <c r="D232" s="76"/>
      <c r="E232" s="76"/>
      <c r="F232" s="76"/>
      <c r="G232" s="135"/>
      <c r="H232" s="135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>
      <c r="A233" s="76"/>
      <c r="B233" s="76"/>
      <c r="C233" s="76"/>
      <c r="D233" s="76"/>
      <c r="E233" s="76"/>
      <c r="F233" s="76"/>
      <c r="G233" s="135"/>
      <c r="H233" s="135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>
      <c r="A234" s="76"/>
      <c r="B234" s="76"/>
      <c r="C234" s="76"/>
      <c r="D234" s="76"/>
      <c r="E234" s="76"/>
      <c r="F234" s="76"/>
      <c r="G234" s="135"/>
      <c r="H234" s="135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>
      <c r="A235" s="76"/>
      <c r="B235" s="76"/>
      <c r="C235" s="76"/>
      <c r="D235" s="76"/>
      <c r="E235" s="76"/>
      <c r="F235" s="76"/>
      <c r="G235" s="135"/>
      <c r="H235" s="135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>
      <c r="A236" s="76"/>
      <c r="B236" s="76"/>
      <c r="C236" s="76"/>
      <c r="D236" s="76"/>
      <c r="E236" s="76"/>
      <c r="F236" s="76"/>
      <c r="G236" s="135"/>
      <c r="H236" s="135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>
      <c r="A237" s="76"/>
      <c r="B237" s="76"/>
      <c r="C237" s="76"/>
      <c r="D237" s="76"/>
      <c r="E237" s="76"/>
      <c r="F237" s="76"/>
      <c r="G237" s="135"/>
      <c r="H237" s="135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>
      <c r="A238" s="76"/>
      <c r="B238" s="76"/>
      <c r="C238" s="76"/>
      <c r="D238" s="76"/>
      <c r="E238" s="76"/>
      <c r="F238" s="76"/>
      <c r="G238" s="135"/>
      <c r="H238" s="135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>
      <c r="A239" s="76"/>
      <c r="B239" s="76"/>
      <c r="C239" s="76"/>
      <c r="D239" s="76"/>
      <c r="E239" s="76"/>
      <c r="F239" s="76"/>
      <c r="G239" s="135"/>
      <c r="H239" s="135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>
      <c r="A240" s="76"/>
      <c r="B240" s="76"/>
      <c r="C240" s="76"/>
      <c r="D240" s="76"/>
      <c r="E240" s="76"/>
      <c r="F240" s="76"/>
      <c r="G240" s="135"/>
      <c r="H240" s="135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>
      <c r="A241" s="76"/>
      <c r="B241" s="76"/>
      <c r="C241" s="76"/>
      <c r="D241" s="76"/>
      <c r="E241" s="76"/>
      <c r="F241" s="76"/>
      <c r="G241" s="135"/>
      <c r="H241" s="135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>
      <c r="A242" s="76"/>
      <c r="B242" s="76"/>
      <c r="C242" s="76"/>
      <c r="D242" s="76"/>
      <c r="E242" s="76"/>
      <c r="F242" s="76"/>
      <c r="G242" s="135"/>
      <c r="H242" s="135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>
      <c r="A243" s="76"/>
      <c r="B243" s="76"/>
      <c r="C243" s="76"/>
      <c r="D243" s="76"/>
      <c r="E243" s="76"/>
      <c r="F243" s="76"/>
      <c r="G243" s="135"/>
      <c r="H243" s="135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>
      <c r="A244" s="76"/>
      <c r="B244" s="76"/>
      <c r="C244" s="76"/>
      <c r="D244" s="76"/>
      <c r="E244" s="76"/>
      <c r="F244" s="76"/>
      <c r="G244" s="135"/>
      <c r="H244" s="135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>
      <c r="A245" s="76"/>
      <c r="B245" s="76"/>
      <c r="C245" s="76"/>
      <c r="D245" s="76"/>
      <c r="E245" s="76"/>
      <c r="F245" s="76"/>
      <c r="G245" s="135"/>
      <c r="H245" s="135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>
      <c r="A246" s="76"/>
      <c r="B246" s="76"/>
      <c r="C246" s="76"/>
      <c r="D246" s="76"/>
      <c r="E246" s="76"/>
      <c r="F246" s="76"/>
      <c r="G246" s="135"/>
      <c r="H246" s="135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>
      <c r="A247" s="76"/>
      <c r="B247" s="76"/>
      <c r="C247" s="76"/>
      <c r="D247" s="76"/>
      <c r="E247" s="76"/>
      <c r="F247" s="76"/>
      <c r="G247" s="135"/>
      <c r="H247" s="135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>
      <c r="A248" s="76"/>
      <c r="B248" s="76"/>
      <c r="C248" s="76"/>
      <c r="D248" s="76"/>
      <c r="E248" s="76"/>
      <c r="F248" s="76"/>
      <c r="G248" s="135"/>
      <c r="H248" s="135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>
      <c r="A249" s="76"/>
      <c r="B249" s="76"/>
      <c r="C249" s="76"/>
      <c r="D249" s="76"/>
      <c r="E249" s="76"/>
      <c r="F249" s="76"/>
      <c r="G249" s="135"/>
      <c r="H249" s="135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>
      <c r="A250" s="76"/>
      <c r="B250" s="76"/>
      <c r="C250" s="76"/>
      <c r="D250" s="76"/>
      <c r="E250" s="76"/>
      <c r="F250" s="76"/>
      <c r="G250" s="135"/>
      <c r="H250" s="135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>
      <c r="A251" s="76"/>
      <c r="B251" s="76"/>
      <c r="C251" s="76"/>
      <c r="D251" s="76"/>
      <c r="E251" s="76"/>
      <c r="F251" s="76"/>
      <c r="G251" s="135"/>
      <c r="H251" s="135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>
      <c r="A252" s="76"/>
      <c r="B252" s="76"/>
      <c r="C252" s="76"/>
      <c r="D252" s="76"/>
      <c r="E252" s="76"/>
      <c r="F252" s="76"/>
      <c r="G252" s="135"/>
      <c r="H252" s="135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>
      <c r="A253" s="76"/>
      <c r="B253" s="76"/>
      <c r="C253" s="76"/>
      <c r="D253" s="76"/>
      <c r="E253" s="76"/>
      <c r="F253" s="76"/>
      <c r="G253" s="135"/>
      <c r="H253" s="135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>
      <c r="A254" s="76"/>
      <c r="B254" s="76"/>
      <c r="C254" s="76"/>
      <c r="D254" s="76"/>
      <c r="E254" s="76"/>
      <c r="F254" s="76"/>
      <c r="G254" s="135"/>
      <c r="H254" s="135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>
      <c r="A255" s="76"/>
      <c r="B255" s="76"/>
      <c r="C255" s="76"/>
      <c r="D255" s="76"/>
      <c r="E255" s="76"/>
      <c r="F255" s="76"/>
      <c r="G255" s="135"/>
      <c r="H255" s="135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>
      <c r="A256" s="76"/>
      <c r="B256" s="76"/>
      <c r="C256" s="76"/>
      <c r="D256" s="76"/>
      <c r="E256" s="76"/>
      <c r="F256" s="76"/>
      <c r="G256" s="135"/>
      <c r="H256" s="135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>
      <c r="A257" s="76"/>
      <c r="B257" s="76"/>
      <c r="C257" s="76"/>
      <c r="D257" s="76"/>
      <c r="E257" s="76"/>
      <c r="F257" s="76"/>
      <c r="G257" s="135"/>
      <c r="H257" s="135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>
      <c r="A258" s="76"/>
      <c r="B258" s="76"/>
      <c r="C258" s="76"/>
      <c r="D258" s="76"/>
      <c r="E258" s="76"/>
      <c r="F258" s="76"/>
      <c r="G258" s="135"/>
      <c r="H258" s="135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>
      <c r="A259" s="76"/>
      <c r="B259" s="76"/>
      <c r="C259" s="76"/>
      <c r="D259" s="76"/>
      <c r="E259" s="76"/>
      <c r="F259" s="76"/>
      <c r="G259" s="135"/>
      <c r="H259" s="135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>
      <c r="A260" s="76"/>
      <c r="B260" s="76"/>
      <c r="C260" s="76"/>
      <c r="D260" s="76"/>
      <c r="E260" s="76"/>
      <c r="F260" s="76"/>
      <c r="G260" s="135"/>
      <c r="H260" s="135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>
      <c r="A261" s="76"/>
      <c r="B261" s="76"/>
      <c r="C261" s="76"/>
      <c r="D261" s="76"/>
      <c r="E261" s="76"/>
      <c r="F261" s="76"/>
      <c r="G261" s="135"/>
      <c r="H261" s="135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>
      <c r="A262" s="76"/>
      <c r="B262" s="76"/>
      <c r="C262" s="76"/>
      <c r="D262" s="76"/>
      <c r="E262" s="76"/>
      <c r="F262" s="76"/>
      <c r="G262" s="135"/>
      <c r="H262" s="135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>
      <c r="A263" s="76"/>
      <c r="B263" s="76"/>
      <c r="C263" s="76"/>
      <c r="D263" s="76"/>
      <c r="E263" s="76"/>
      <c r="F263" s="76"/>
      <c r="G263" s="135"/>
      <c r="H263" s="135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>
      <c r="A264" s="76"/>
      <c r="B264" s="76"/>
      <c r="C264" s="76"/>
      <c r="D264" s="76"/>
      <c r="E264" s="76"/>
      <c r="F264" s="76"/>
      <c r="G264" s="135"/>
      <c r="H264" s="135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>
      <c r="A265" s="76"/>
      <c r="B265" s="76"/>
      <c r="C265" s="76"/>
      <c r="D265" s="76"/>
      <c r="E265" s="76"/>
      <c r="F265" s="76"/>
      <c r="G265" s="135"/>
      <c r="H265" s="135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>
      <c r="A266" s="76"/>
      <c r="B266" s="76"/>
      <c r="C266" s="76"/>
      <c r="D266" s="76"/>
      <c r="E266" s="76"/>
      <c r="F266" s="76"/>
      <c r="G266" s="135"/>
      <c r="H266" s="135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>
      <c r="A267" s="76"/>
      <c r="B267" s="76"/>
      <c r="C267" s="76"/>
      <c r="D267" s="76"/>
      <c r="E267" s="76"/>
      <c r="F267" s="76"/>
      <c r="G267" s="135"/>
      <c r="H267" s="135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>
      <c r="A268" s="76"/>
      <c r="B268" s="76"/>
      <c r="C268" s="76"/>
      <c r="D268" s="76"/>
      <c r="E268" s="76"/>
      <c r="F268" s="76"/>
      <c r="G268" s="135"/>
      <c r="H268" s="135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>
      <c r="A269" s="76"/>
      <c r="B269" s="76"/>
      <c r="C269" s="76"/>
      <c r="D269" s="76"/>
      <c r="E269" s="76"/>
      <c r="F269" s="76"/>
      <c r="G269" s="135"/>
      <c r="H269" s="135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>
      <c r="A270" s="76"/>
      <c r="B270" s="76"/>
      <c r="C270" s="76"/>
      <c r="D270" s="76"/>
      <c r="E270" s="76"/>
      <c r="F270" s="76"/>
      <c r="G270" s="135"/>
      <c r="H270" s="135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>
      <c r="A271" s="76"/>
      <c r="B271" s="76"/>
      <c r="C271" s="76"/>
      <c r="D271" s="76"/>
      <c r="E271" s="76"/>
      <c r="F271" s="76"/>
      <c r="G271" s="135"/>
      <c r="H271" s="135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>
      <c r="A272" s="76"/>
      <c r="B272" s="76"/>
      <c r="C272" s="76"/>
      <c r="D272" s="76"/>
      <c r="E272" s="76"/>
      <c r="F272" s="76"/>
      <c r="G272" s="135"/>
      <c r="H272" s="135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>
      <c r="A273" s="76"/>
      <c r="B273" s="76"/>
      <c r="C273" s="76"/>
      <c r="D273" s="76"/>
      <c r="E273" s="76"/>
      <c r="F273" s="76"/>
      <c r="G273" s="135"/>
      <c r="H273" s="135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>
      <c r="A274" s="76"/>
      <c r="B274" s="76"/>
      <c r="C274" s="76"/>
      <c r="D274" s="76"/>
      <c r="E274" s="76"/>
      <c r="F274" s="76"/>
      <c r="G274" s="135"/>
      <c r="H274" s="135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>
      <c r="A275" s="76"/>
      <c r="B275" s="76"/>
      <c r="C275" s="76"/>
      <c r="D275" s="76"/>
      <c r="E275" s="76"/>
      <c r="F275" s="76"/>
      <c r="G275" s="135"/>
      <c r="H275" s="135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>
      <c r="A276" s="76"/>
      <c r="B276" s="76"/>
      <c r="C276" s="76"/>
      <c r="D276" s="76"/>
      <c r="E276" s="76"/>
      <c r="F276" s="76"/>
      <c r="G276" s="135"/>
      <c r="H276" s="135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>
      <c r="A277" s="76"/>
      <c r="B277" s="76"/>
      <c r="C277" s="76"/>
      <c r="D277" s="76"/>
      <c r="E277" s="76"/>
      <c r="F277" s="76"/>
      <c r="G277" s="135"/>
      <c r="H277" s="135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>
      <c r="A278" s="76"/>
      <c r="B278" s="76"/>
      <c r="C278" s="76"/>
      <c r="D278" s="76"/>
      <c r="E278" s="76"/>
      <c r="F278" s="76"/>
      <c r="G278" s="135"/>
      <c r="H278" s="135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>
      <c r="A279" s="76"/>
      <c r="B279" s="76"/>
      <c r="C279" s="76"/>
      <c r="D279" s="76"/>
      <c r="E279" s="76"/>
      <c r="F279" s="76"/>
      <c r="G279" s="135"/>
      <c r="H279" s="135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>
      <c r="A280" s="76"/>
      <c r="B280" s="76"/>
      <c r="C280" s="76"/>
      <c r="D280" s="76"/>
      <c r="E280" s="76"/>
      <c r="F280" s="76"/>
      <c r="G280" s="135"/>
      <c r="H280" s="135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>
      <c r="A281" s="76"/>
      <c r="B281" s="76"/>
      <c r="C281" s="76"/>
      <c r="D281" s="76"/>
      <c r="E281" s="76"/>
      <c r="F281" s="76"/>
      <c r="G281" s="135"/>
      <c r="H281" s="135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>
      <c r="A282" s="76"/>
      <c r="B282" s="76"/>
      <c r="C282" s="76"/>
      <c r="D282" s="76"/>
      <c r="E282" s="76"/>
      <c r="F282" s="76"/>
      <c r="G282" s="135"/>
      <c r="H282" s="135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>
      <c r="A283" s="76"/>
      <c r="B283" s="76"/>
      <c r="C283" s="76"/>
      <c r="D283" s="76"/>
      <c r="E283" s="76"/>
      <c r="F283" s="76"/>
      <c r="G283" s="135"/>
      <c r="H283" s="135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>
      <c r="A284" s="76"/>
      <c r="B284" s="76"/>
      <c r="C284" s="76"/>
      <c r="D284" s="76"/>
      <c r="E284" s="76"/>
      <c r="F284" s="76"/>
      <c r="G284" s="135"/>
      <c r="H284" s="135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>
      <c r="A285" s="76"/>
      <c r="B285" s="76"/>
      <c r="C285" s="76"/>
      <c r="D285" s="76"/>
      <c r="E285" s="76"/>
      <c r="F285" s="76"/>
      <c r="G285" s="135"/>
      <c r="H285" s="135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>
      <c r="A286" s="76"/>
      <c r="B286" s="76"/>
      <c r="C286" s="76"/>
      <c r="D286" s="76"/>
      <c r="E286" s="76"/>
      <c r="F286" s="76"/>
      <c r="G286" s="135"/>
      <c r="H286" s="135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>
      <c r="A287" s="76"/>
      <c r="B287" s="76"/>
      <c r="C287" s="76"/>
      <c r="D287" s="76"/>
      <c r="E287" s="76"/>
      <c r="F287" s="76"/>
      <c r="G287" s="135"/>
      <c r="H287" s="135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>
      <c r="A288" s="76"/>
      <c r="B288" s="76"/>
      <c r="C288" s="76"/>
      <c r="D288" s="76"/>
      <c r="E288" s="76"/>
      <c r="F288" s="76"/>
      <c r="G288" s="135"/>
      <c r="H288" s="135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>
      <c r="A289" s="76"/>
      <c r="B289" s="76"/>
      <c r="C289" s="76"/>
      <c r="D289" s="76"/>
      <c r="E289" s="76"/>
      <c r="F289" s="76"/>
      <c r="G289" s="135"/>
      <c r="H289" s="135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>
      <c r="A290" s="76"/>
      <c r="B290" s="76"/>
      <c r="C290" s="76"/>
      <c r="D290" s="76"/>
      <c r="E290" s="76"/>
      <c r="F290" s="76"/>
      <c r="G290" s="135"/>
      <c r="H290" s="135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>
      <c r="A291" s="76"/>
      <c r="B291" s="76"/>
      <c r="C291" s="76"/>
      <c r="D291" s="76"/>
      <c r="E291" s="76"/>
      <c r="F291" s="76"/>
      <c r="G291" s="135"/>
      <c r="H291" s="135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>
      <c r="A292" s="76"/>
      <c r="B292" s="76"/>
      <c r="C292" s="76"/>
      <c r="D292" s="76"/>
      <c r="E292" s="76"/>
      <c r="F292" s="76"/>
      <c r="G292" s="135"/>
      <c r="H292" s="135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>
      <c r="A293" s="76"/>
      <c r="B293" s="76"/>
      <c r="C293" s="76"/>
      <c r="D293" s="76"/>
      <c r="E293" s="76"/>
      <c r="F293" s="76"/>
      <c r="G293" s="135"/>
      <c r="H293" s="135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>
      <c r="A294" s="76"/>
      <c r="B294" s="76"/>
      <c r="C294" s="76"/>
      <c r="D294" s="76"/>
      <c r="E294" s="76"/>
      <c r="F294" s="76"/>
      <c r="G294" s="135"/>
      <c r="H294" s="135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>
      <c r="A295" s="76"/>
      <c r="B295" s="76"/>
      <c r="C295" s="76"/>
      <c r="D295" s="76"/>
      <c r="E295" s="76"/>
      <c r="F295" s="76"/>
      <c r="G295" s="135"/>
      <c r="H295" s="135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>
      <c r="A296" s="76"/>
      <c r="B296" s="76"/>
      <c r="C296" s="76"/>
      <c r="D296" s="76"/>
      <c r="E296" s="76"/>
      <c r="F296" s="76"/>
      <c r="G296" s="135"/>
      <c r="H296" s="135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>
      <c r="A297" s="76"/>
      <c r="B297" s="76"/>
      <c r="C297" s="76"/>
      <c r="D297" s="76"/>
      <c r="E297" s="76"/>
      <c r="F297" s="76"/>
      <c r="G297" s="135"/>
      <c r="H297" s="135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>
      <c r="A298" s="76"/>
      <c r="B298" s="76"/>
      <c r="C298" s="76"/>
      <c r="D298" s="76"/>
      <c r="E298" s="76"/>
      <c r="F298" s="76"/>
      <c r="G298" s="135"/>
      <c r="H298" s="135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>
      <c r="A299" s="76"/>
      <c r="B299" s="76"/>
      <c r="C299" s="76"/>
      <c r="D299" s="76"/>
      <c r="E299" s="76"/>
      <c r="F299" s="76"/>
      <c r="G299" s="135"/>
      <c r="H299" s="135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>
      <c r="A300" s="76"/>
      <c r="B300" s="76"/>
      <c r="C300" s="76"/>
      <c r="D300" s="76"/>
      <c r="E300" s="76"/>
      <c r="F300" s="76"/>
      <c r="G300" s="135"/>
      <c r="H300" s="135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>
      <c r="A301" s="76"/>
      <c r="B301" s="76"/>
      <c r="C301" s="76"/>
      <c r="D301" s="76"/>
      <c r="E301" s="76"/>
      <c r="F301" s="76"/>
      <c r="G301" s="135"/>
      <c r="H301" s="135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>
      <c r="A302" s="76"/>
      <c r="B302" s="76"/>
      <c r="C302" s="76"/>
      <c r="D302" s="76"/>
      <c r="E302" s="76"/>
      <c r="F302" s="76"/>
      <c r="G302" s="135"/>
      <c r="H302" s="135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>
      <c r="A303" s="76"/>
      <c r="B303" s="76"/>
      <c r="C303" s="76"/>
      <c r="D303" s="76"/>
      <c r="E303" s="76"/>
      <c r="F303" s="76"/>
      <c r="G303" s="135"/>
      <c r="H303" s="135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>
      <c r="A304" s="76"/>
      <c r="B304" s="76"/>
      <c r="C304" s="76"/>
      <c r="D304" s="76"/>
      <c r="E304" s="76"/>
      <c r="F304" s="76"/>
      <c r="G304" s="135"/>
      <c r="H304" s="135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>
      <c r="A305" s="76"/>
      <c r="B305" s="76"/>
      <c r="C305" s="76"/>
      <c r="D305" s="76"/>
      <c r="E305" s="76"/>
      <c r="F305" s="76"/>
      <c r="G305" s="135"/>
      <c r="H305" s="135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>
      <c r="A306" s="76"/>
      <c r="B306" s="76"/>
      <c r="C306" s="76"/>
      <c r="D306" s="76"/>
      <c r="E306" s="76"/>
      <c r="F306" s="76"/>
      <c r="G306" s="135"/>
      <c r="H306" s="135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>
      <c r="A307" s="76"/>
      <c r="B307" s="76"/>
      <c r="C307" s="76"/>
      <c r="D307" s="76"/>
      <c r="E307" s="76"/>
      <c r="F307" s="76"/>
      <c r="G307" s="135"/>
      <c r="H307" s="135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>
      <c r="A308" s="76"/>
      <c r="B308" s="76"/>
      <c r="C308" s="76"/>
      <c r="D308" s="76"/>
      <c r="E308" s="76"/>
      <c r="F308" s="76"/>
      <c r="G308" s="135"/>
      <c r="H308" s="135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>
      <c r="A309" s="76"/>
      <c r="B309" s="76"/>
      <c r="C309" s="76"/>
      <c r="D309" s="76"/>
      <c r="E309" s="76"/>
      <c r="F309" s="76"/>
      <c r="G309" s="135"/>
      <c r="H309" s="135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>
      <c r="A310" s="76"/>
      <c r="B310" s="76"/>
      <c r="C310" s="76"/>
      <c r="D310" s="76"/>
      <c r="E310" s="76"/>
      <c r="F310" s="76"/>
      <c r="G310" s="135"/>
      <c r="H310" s="135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>
      <c r="A311" s="76"/>
      <c r="B311" s="76"/>
      <c r="C311" s="76"/>
      <c r="D311" s="76"/>
      <c r="E311" s="76"/>
      <c r="F311" s="76"/>
      <c r="G311" s="135"/>
      <c r="H311" s="135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>
      <c r="A312" s="76"/>
      <c r="B312" s="76"/>
      <c r="C312" s="76"/>
      <c r="D312" s="76"/>
      <c r="E312" s="76"/>
      <c r="F312" s="76"/>
      <c r="G312" s="135"/>
      <c r="H312" s="135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>
      <c r="A313" s="76"/>
      <c r="B313" s="76"/>
      <c r="C313" s="76"/>
      <c r="D313" s="76"/>
      <c r="E313" s="76"/>
      <c r="F313" s="76"/>
      <c r="G313" s="135"/>
      <c r="H313" s="135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>
      <c r="A314" s="76"/>
      <c r="B314" s="76"/>
      <c r="C314" s="76"/>
      <c r="D314" s="76"/>
      <c r="E314" s="76"/>
      <c r="F314" s="76"/>
      <c r="G314" s="135"/>
      <c r="H314" s="135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>
      <c r="A315" s="76"/>
      <c r="B315" s="76"/>
      <c r="C315" s="76"/>
      <c r="D315" s="76"/>
      <c r="E315" s="76"/>
      <c r="F315" s="76"/>
      <c r="G315" s="135"/>
      <c r="H315" s="135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>
      <c r="A316" s="76"/>
      <c r="B316" s="76"/>
      <c r="C316" s="76"/>
      <c r="D316" s="76"/>
      <c r="E316" s="76"/>
      <c r="F316" s="76"/>
      <c r="G316" s="135"/>
      <c r="H316" s="135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>
      <c r="A317" s="76"/>
      <c r="B317" s="76"/>
      <c r="C317" s="76"/>
      <c r="D317" s="76"/>
      <c r="E317" s="76"/>
      <c r="F317" s="76"/>
      <c r="G317" s="135"/>
      <c r="H317" s="135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>
      <c r="A318" s="76"/>
      <c r="B318" s="76"/>
      <c r="C318" s="76"/>
      <c r="D318" s="76"/>
      <c r="E318" s="76"/>
      <c r="F318" s="76"/>
      <c r="G318" s="135"/>
      <c r="H318" s="135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>
      <c r="A319" s="76"/>
      <c r="B319" s="76"/>
      <c r="C319" s="76"/>
      <c r="D319" s="76"/>
      <c r="E319" s="76"/>
      <c r="F319" s="76"/>
      <c r="G319" s="135"/>
      <c r="H319" s="135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>
      <c r="A320" s="76"/>
      <c r="B320" s="76"/>
      <c r="C320" s="76"/>
      <c r="D320" s="76"/>
      <c r="E320" s="76"/>
      <c r="F320" s="76"/>
      <c r="G320" s="135"/>
      <c r="H320" s="135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>
      <c r="A321" s="76"/>
      <c r="B321" s="76"/>
      <c r="C321" s="76"/>
      <c r="D321" s="76"/>
      <c r="E321" s="76"/>
      <c r="F321" s="76"/>
      <c r="G321" s="135"/>
      <c r="H321" s="135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>
      <c r="A322" s="76"/>
      <c r="B322" s="76"/>
      <c r="C322" s="76"/>
      <c r="D322" s="76"/>
      <c r="E322" s="76"/>
      <c r="F322" s="76"/>
      <c r="G322" s="135"/>
      <c r="H322" s="135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>
      <c r="A323" s="76"/>
      <c r="B323" s="76"/>
      <c r="C323" s="76"/>
      <c r="D323" s="76"/>
      <c r="E323" s="76"/>
      <c r="F323" s="76"/>
      <c r="G323" s="135"/>
      <c r="H323" s="135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>
      <c r="A324" s="76"/>
      <c r="B324" s="76"/>
      <c r="C324" s="76"/>
      <c r="D324" s="76"/>
      <c r="E324" s="76"/>
      <c r="F324" s="76"/>
      <c r="G324" s="135"/>
      <c r="H324" s="135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>
      <c r="A325" s="76"/>
      <c r="B325" s="76"/>
      <c r="C325" s="76"/>
      <c r="D325" s="76"/>
      <c r="E325" s="76"/>
      <c r="F325" s="76"/>
      <c r="G325" s="135"/>
      <c r="H325" s="135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>
      <c r="A326" s="76"/>
      <c r="B326" s="76"/>
      <c r="C326" s="76"/>
      <c r="D326" s="76"/>
      <c r="E326" s="76"/>
      <c r="F326" s="76"/>
      <c r="G326" s="135"/>
      <c r="H326" s="135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>
      <c r="A327" s="76"/>
      <c r="B327" s="76"/>
      <c r="C327" s="76"/>
      <c r="D327" s="76"/>
      <c r="E327" s="76"/>
      <c r="F327" s="76"/>
      <c r="G327" s="135"/>
      <c r="H327" s="135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>
      <c r="A328" s="76"/>
      <c r="B328" s="76"/>
      <c r="C328" s="76"/>
      <c r="D328" s="76"/>
      <c r="E328" s="76"/>
      <c r="F328" s="76"/>
      <c r="G328" s="135"/>
      <c r="H328" s="135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>
      <c r="A329" s="76"/>
      <c r="B329" s="76"/>
      <c r="C329" s="76"/>
      <c r="D329" s="76"/>
      <c r="E329" s="76"/>
      <c r="F329" s="76"/>
      <c r="G329" s="135"/>
      <c r="H329" s="135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>
      <c r="A330" s="76"/>
      <c r="B330" s="76"/>
      <c r="C330" s="76"/>
      <c r="D330" s="76"/>
      <c r="E330" s="76"/>
      <c r="F330" s="76"/>
      <c r="G330" s="135"/>
      <c r="H330" s="135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>
      <c r="A331" s="76"/>
      <c r="B331" s="76"/>
      <c r="C331" s="76"/>
      <c r="D331" s="76"/>
      <c r="E331" s="76"/>
      <c r="F331" s="76"/>
      <c r="G331" s="135"/>
      <c r="H331" s="135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>
      <c r="A332" s="76"/>
      <c r="B332" s="76"/>
      <c r="C332" s="76"/>
      <c r="D332" s="76"/>
      <c r="E332" s="76"/>
      <c r="F332" s="76"/>
      <c r="G332" s="135"/>
      <c r="H332" s="135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>
      <c r="A333" s="76"/>
      <c r="B333" s="76"/>
      <c r="C333" s="76"/>
      <c r="D333" s="76"/>
      <c r="E333" s="76"/>
      <c r="F333" s="76"/>
      <c r="G333" s="135"/>
      <c r="H333" s="135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>
      <c r="A334" s="76"/>
      <c r="B334" s="76"/>
      <c r="C334" s="76"/>
      <c r="D334" s="76"/>
      <c r="E334" s="76"/>
      <c r="F334" s="76"/>
      <c r="G334" s="135"/>
      <c r="H334" s="135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>
      <c r="A335" s="76"/>
      <c r="B335" s="76"/>
      <c r="C335" s="76"/>
      <c r="D335" s="76"/>
      <c r="E335" s="76"/>
      <c r="F335" s="76"/>
      <c r="G335" s="135"/>
      <c r="H335" s="135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>
      <c r="A336" s="76"/>
      <c r="B336" s="76"/>
      <c r="C336" s="76"/>
      <c r="D336" s="76"/>
      <c r="E336" s="76"/>
      <c r="F336" s="76"/>
      <c r="G336" s="135"/>
      <c r="H336" s="135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>
      <c r="A337" s="76"/>
      <c r="B337" s="76"/>
      <c r="C337" s="76"/>
      <c r="D337" s="76"/>
      <c r="E337" s="76"/>
      <c r="F337" s="76"/>
      <c r="G337" s="135"/>
      <c r="H337" s="135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>
      <c r="A338" s="76"/>
      <c r="B338" s="76"/>
      <c r="C338" s="76"/>
      <c r="D338" s="76"/>
      <c r="E338" s="76"/>
      <c r="F338" s="76"/>
      <c r="G338" s="135"/>
      <c r="H338" s="135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>
      <c r="A339" s="76"/>
      <c r="B339" s="76"/>
      <c r="C339" s="76"/>
      <c r="D339" s="76"/>
      <c r="E339" s="76"/>
      <c r="F339" s="76"/>
      <c r="G339" s="135"/>
      <c r="H339" s="135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>
      <c r="A340" s="76"/>
      <c r="B340" s="76"/>
      <c r="C340" s="76"/>
      <c r="D340" s="76"/>
      <c r="E340" s="76"/>
      <c r="F340" s="76"/>
      <c r="G340" s="135"/>
      <c r="H340" s="135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>
      <c r="A341" s="76"/>
      <c r="B341" s="76"/>
      <c r="C341" s="76"/>
      <c r="D341" s="76"/>
      <c r="E341" s="76"/>
      <c r="F341" s="76"/>
      <c r="G341" s="135"/>
      <c r="H341" s="135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>
      <c r="A342" s="76"/>
      <c r="B342" s="76"/>
      <c r="C342" s="76"/>
      <c r="D342" s="76"/>
      <c r="E342" s="76"/>
      <c r="F342" s="76"/>
      <c r="G342" s="135"/>
      <c r="H342" s="135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>
      <c r="A343" s="76"/>
      <c r="B343" s="76"/>
      <c r="C343" s="76"/>
      <c r="D343" s="76"/>
      <c r="E343" s="76"/>
      <c r="F343" s="76"/>
      <c r="G343" s="135"/>
      <c r="H343" s="135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>
      <c r="A344" s="76"/>
      <c r="B344" s="76"/>
      <c r="C344" s="76"/>
      <c r="D344" s="76"/>
      <c r="E344" s="76"/>
      <c r="F344" s="76"/>
      <c r="G344" s="135"/>
      <c r="H344" s="135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>
      <c r="A345" s="76"/>
      <c r="B345" s="76"/>
      <c r="C345" s="76"/>
      <c r="D345" s="76"/>
      <c r="E345" s="76"/>
      <c r="F345" s="76"/>
      <c r="G345" s="135"/>
      <c r="H345" s="135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>
      <c r="A346" s="76"/>
      <c r="B346" s="76"/>
      <c r="C346" s="76"/>
      <c r="D346" s="76"/>
      <c r="E346" s="76"/>
      <c r="F346" s="76"/>
      <c r="G346" s="135"/>
      <c r="H346" s="135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>
      <c r="A347" s="76"/>
      <c r="B347" s="76"/>
      <c r="C347" s="76"/>
      <c r="D347" s="76"/>
      <c r="E347" s="76"/>
      <c r="F347" s="76"/>
      <c r="G347" s="135"/>
      <c r="H347" s="135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>
      <c r="A348" s="76"/>
      <c r="B348" s="76"/>
      <c r="C348" s="76"/>
      <c r="D348" s="76"/>
      <c r="E348" s="76"/>
      <c r="F348" s="76"/>
      <c r="G348" s="135"/>
      <c r="H348" s="135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>
      <c r="A349" s="76"/>
      <c r="B349" s="76"/>
      <c r="C349" s="76"/>
      <c r="D349" s="76"/>
      <c r="E349" s="76"/>
      <c r="F349" s="76"/>
      <c r="G349" s="135"/>
      <c r="H349" s="135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>
      <c r="A350" s="76"/>
      <c r="B350" s="76"/>
      <c r="C350" s="76"/>
      <c r="D350" s="76"/>
      <c r="E350" s="76"/>
      <c r="F350" s="76"/>
      <c r="G350" s="135"/>
      <c r="H350" s="135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>
      <c r="A351" s="76"/>
      <c r="B351" s="76"/>
      <c r="C351" s="76"/>
      <c r="D351" s="76"/>
      <c r="E351" s="76"/>
      <c r="F351" s="76"/>
      <c r="G351" s="135"/>
      <c r="H351" s="135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>
      <c r="A352" s="76"/>
      <c r="B352" s="76"/>
      <c r="C352" s="76"/>
      <c r="D352" s="76"/>
      <c r="E352" s="76"/>
      <c r="F352" s="76"/>
      <c r="G352" s="135"/>
      <c r="H352" s="135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>
      <c r="A353" s="76"/>
      <c r="B353" s="76"/>
      <c r="C353" s="76"/>
      <c r="D353" s="76"/>
      <c r="E353" s="76"/>
      <c r="F353" s="76"/>
      <c r="G353" s="135"/>
      <c r="H353" s="135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>
      <c r="A354" s="76"/>
      <c r="B354" s="76"/>
      <c r="C354" s="76"/>
      <c r="D354" s="76"/>
      <c r="E354" s="76"/>
      <c r="F354" s="76"/>
      <c r="G354" s="135"/>
      <c r="H354" s="135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>
      <c r="A355" s="76"/>
      <c r="B355" s="76"/>
      <c r="C355" s="76"/>
      <c r="D355" s="76"/>
      <c r="E355" s="76"/>
      <c r="F355" s="76"/>
      <c r="G355" s="135"/>
      <c r="H355" s="135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>
      <c r="A356" s="76"/>
      <c r="B356" s="76"/>
      <c r="C356" s="76"/>
      <c r="D356" s="76"/>
      <c r="E356" s="76"/>
      <c r="F356" s="76"/>
      <c r="G356" s="135"/>
      <c r="H356" s="135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>
      <c r="A357" s="76"/>
      <c r="B357" s="76"/>
      <c r="C357" s="76"/>
      <c r="D357" s="76"/>
      <c r="E357" s="76"/>
      <c r="F357" s="76"/>
      <c r="G357" s="135"/>
      <c r="H357" s="135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>
      <c r="A358" s="76"/>
      <c r="B358" s="76"/>
      <c r="C358" s="76"/>
      <c r="D358" s="76"/>
      <c r="E358" s="76"/>
      <c r="F358" s="76"/>
      <c r="G358" s="135"/>
      <c r="H358" s="135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>
      <c r="A359" s="76"/>
      <c r="B359" s="76"/>
      <c r="C359" s="76"/>
      <c r="D359" s="76"/>
      <c r="E359" s="76"/>
      <c r="F359" s="76"/>
      <c r="G359" s="135"/>
      <c r="H359" s="135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>
      <c r="A360" s="76"/>
      <c r="B360" s="76"/>
      <c r="C360" s="76"/>
      <c r="D360" s="76"/>
      <c r="E360" s="76"/>
      <c r="F360" s="76"/>
      <c r="G360" s="135"/>
      <c r="H360" s="135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>
      <c r="A361" s="76"/>
      <c r="B361" s="76"/>
      <c r="C361" s="76"/>
      <c r="D361" s="76"/>
      <c r="E361" s="76"/>
      <c r="F361" s="76"/>
      <c r="G361" s="135"/>
      <c r="H361" s="135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>
      <c r="A362" s="76"/>
      <c r="B362" s="76"/>
      <c r="C362" s="76"/>
      <c r="D362" s="76"/>
      <c r="E362" s="76"/>
      <c r="F362" s="76"/>
      <c r="G362" s="135"/>
      <c r="H362" s="135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>
      <c r="A363" s="76"/>
      <c r="B363" s="76"/>
      <c r="C363" s="76"/>
      <c r="D363" s="76"/>
      <c r="E363" s="76"/>
      <c r="F363" s="76"/>
      <c r="G363" s="135"/>
      <c r="H363" s="135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>
      <c r="A364" s="76"/>
      <c r="B364" s="76"/>
      <c r="C364" s="76"/>
      <c r="D364" s="76"/>
      <c r="E364" s="76"/>
      <c r="F364" s="76"/>
      <c r="G364" s="135"/>
      <c r="H364" s="135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>
      <c r="A365" s="76"/>
      <c r="B365" s="76"/>
      <c r="C365" s="76"/>
      <c r="D365" s="76"/>
      <c r="E365" s="76"/>
      <c r="F365" s="76"/>
      <c r="G365" s="135"/>
      <c r="H365" s="135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>
      <c r="A366" s="76"/>
      <c r="B366" s="76"/>
      <c r="C366" s="76"/>
      <c r="D366" s="76"/>
      <c r="E366" s="76"/>
      <c r="F366" s="76"/>
      <c r="G366" s="135"/>
      <c r="H366" s="135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>
      <c r="A367" s="76"/>
      <c r="B367" s="76"/>
      <c r="C367" s="76"/>
      <c r="D367" s="76"/>
      <c r="E367" s="76"/>
      <c r="F367" s="76"/>
      <c r="G367" s="135"/>
      <c r="H367" s="135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>
      <c r="A368" s="76"/>
      <c r="B368" s="76"/>
      <c r="C368" s="76"/>
      <c r="D368" s="76"/>
      <c r="E368" s="76"/>
      <c r="F368" s="76"/>
      <c r="G368" s="135"/>
      <c r="H368" s="135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>
      <c r="A369" s="76"/>
      <c r="B369" s="76"/>
      <c r="C369" s="76"/>
      <c r="D369" s="76"/>
      <c r="E369" s="76"/>
      <c r="F369" s="76"/>
      <c r="G369" s="135"/>
      <c r="H369" s="135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>
      <c r="A370" s="76"/>
      <c r="B370" s="76"/>
      <c r="C370" s="76"/>
      <c r="D370" s="76"/>
      <c r="E370" s="76"/>
      <c r="F370" s="76"/>
      <c r="G370" s="135"/>
      <c r="H370" s="135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>
      <c r="A371" s="76"/>
      <c r="B371" s="76"/>
      <c r="C371" s="76"/>
      <c r="D371" s="76"/>
      <c r="E371" s="76"/>
      <c r="F371" s="76"/>
      <c r="G371" s="135"/>
      <c r="H371" s="135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>
      <c r="A372" s="76"/>
      <c r="B372" s="76"/>
      <c r="C372" s="76"/>
      <c r="D372" s="76"/>
      <c r="E372" s="76"/>
      <c r="F372" s="76"/>
      <c r="G372" s="135"/>
      <c r="H372" s="135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>
      <c r="A373" s="76"/>
      <c r="B373" s="76"/>
      <c r="C373" s="76"/>
      <c r="D373" s="76"/>
      <c r="E373" s="76"/>
      <c r="F373" s="76"/>
      <c r="G373" s="135"/>
      <c r="H373" s="135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>
      <c r="A374" s="76"/>
      <c r="B374" s="76"/>
      <c r="C374" s="76"/>
      <c r="D374" s="76"/>
      <c r="E374" s="76"/>
      <c r="F374" s="76"/>
      <c r="G374" s="135"/>
      <c r="H374" s="135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>
      <c r="A375" s="76"/>
      <c r="B375" s="76"/>
      <c r="C375" s="76"/>
      <c r="D375" s="76"/>
      <c r="E375" s="76"/>
      <c r="F375" s="76"/>
      <c r="G375" s="135"/>
      <c r="H375" s="135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>
      <c r="A376" s="76"/>
      <c r="B376" s="76"/>
      <c r="C376" s="76"/>
      <c r="D376" s="76"/>
      <c r="E376" s="76"/>
      <c r="F376" s="76"/>
      <c r="G376" s="135"/>
      <c r="H376" s="135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>
      <c r="A377" s="76"/>
      <c r="B377" s="76"/>
      <c r="C377" s="76"/>
      <c r="D377" s="76"/>
      <c r="E377" s="76"/>
      <c r="F377" s="76"/>
      <c r="G377" s="135"/>
      <c r="H377" s="135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>
      <c r="A378" s="76"/>
      <c r="B378" s="76"/>
      <c r="C378" s="76"/>
      <c r="D378" s="76"/>
      <c r="E378" s="76"/>
      <c r="F378" s="76"/>
      <c r="G378" s="135"/>
      <c r="H378" s="135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>
      <c r="A379" s="76"/>
      <c r="B379" s="76"/>
      <c r="C379" s="76"/>
      <c r="D379" s="76"/>
      <c r="E379" s="76"/>
      <c r="F379" s="76"/>
      <c r="G379" s="135"/>
      <c r="H379" s="135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>
      <c r="A380" s="76"/>
      <c r="B380" s="76"/>
      <c r="C380" s="76"/>
      <c r="D380" s="76"/>
      <c r="E380" s="76"/>
      <c r="F380" s="76"/>
      <c r="G380" s="135"/>
      <c r="H380" s="135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>
      <c r="A381" s="76"/>
      <c r="B381" s="76"/>
      <c r="C381" s="76"/>
      <c r="D381" s="76"/>
      <c r="E381" s="76"/>
      <c r="F381" s="76"/>
      <c r="G381" s="135"/>
      <c r="H381" s="135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>
      <c r="A382" s="76"/>
      <c r="B382" s="76"/>
      <c r="C382" s="76"/>
      <c r="D382" s="76"/>
      <c r="E382" s="76"/>
      <c r="F382" s="76"/>
      <c r="G382" s="135"/>
      <c r="H382" s="135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>
      <c r="A383" s="76"/>
      <c r="B383" s="76"/>
      <c r="C383" s="76"/>
      <c r="D383" s="76"/>
      <c r="E383" s="76"/>
      <c r="F383" s="76"/>
      <c r="G383" s="135"/>
      <c r="H383" s="135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>
      <c r="A384" s="76"/>
      <c r="B384" s="76"/>
      <c r="C384" s="76"/>
      <c r="D384" s="76"/>
      <c r="E384" s="76"/>
      <c r="F384" s="76"/>
      <c r="G384" s="135"/>
      <c r="H384" s="135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>
      <c r="A385" s="76"/>
      <c r="B385" s="76"/>
      <c r="C385" s="76"/>
      <c r="D385" s="76"/>
      <c r="E385" s="76"/>
      <c r="F385" s="76"/>
      <c r="G385" s="135"/>
      <c r="H385" s="135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>
      <c r="A386" s="76"/>
      <c r="B386" s="76"/>
      <c r="C386" s="76"/>
      <c r="D386" s="76"/>
      <c r="E386" s="76"/>
      <c r="F386" s="76"/>
      <c r="G386" s="135"/>
      <c r="H386" s="135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>
      <c r="A387" s="76"/>
      <c r="B387" s="76"/>
      <c r="C387" s="76"/>
      <c r="D387" s="76"/>
      <c r="E387" s="76"/>
      <c r="F387" s="76"/>
      <c r="G387" s="135"/>
      <c r="H387" s="135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>
      <c r="A388" s="76"/>
      <c r="B388" s="76"/>
      <c r="C388" s="76"/>
      <c r="D388" s="76"/>
      <c r="E388" s="76"/>
      <c r="F388" s="76"/>
      <c r="G388" s="135"/>
      <c r="H388" s="135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>
      <c r="A389" s="76"/>
      <c r="B389" s="76"/>
      <c r="C389" s="76"/>
      <c r="D389" s="76"/>
      <c r="E389" s="76"/>
      <c r="F389" s="76"/>
      <c r="G389" s="135"/>
      <c r="H389" s="135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>
      <c r="A390" s="76"/>
      <c r="B390" s="76"/>
      <c r="C390" s="76"/>
      <c r="D390" s="76"/>
      <c r="E390" s="76"/>
      <c r="F390" s="76"/>
      <c r="G390" s="135"/>
      <c r="H390" s="135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>
      <c r="A391" s="76"/>
      <c r="B391" s="76"/>
      <c r="C391" s="76"/>
      <c r="D391" s="76"/>
      <c r="E391" s="76"/>
      <c r="F391" s="76"/>
      <c r="G391" s="135"/>
      <c r="H391" s="135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>
      <c r="A392" s="76"/>
      <c r="B392" s="76"/>
      <c r="C392" s="76"/>
      <c r="D392" s="76"/>
      <c r="E392" s="76"/>
      <c r="F392" s="76"/>
      <c r="G392" s="135"/>
      <c r="H392" s="135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>
      <c r="A393" s="76"/>
      <c r="B393" s="76"/>
      <c r="C393" s="76"/>
      <c r="D393" s="76"/>
      <c r="E393" s="76"/>
      <c r="F393" s="76"/>
      <c r="G393" s="135"/>
      <c r="H393" s="135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>
      <c r="A394" s="76"/>
      <c r="B394" s="76"/>
      <c r="C394" s="76"/>
      <c r="D394" s="76"/>
      <c r="E394" s="76"/>
      <c r="F394" s="76"/>
      <c r="G394" s="135"/>
      <c r="H394" s="135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>
      <c r="A395" s="76"/>
      <c r="B395" s="76"/>
      <c r="C395" s="76"/>
      <c r="D395" s="76"/>
      <c r="E395" s="76"/>
      <c r="F395" s="76"/>
      <c r="G395" s="135"/>
      <c r="H395" s="135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>
      <c r="A396" s="76"/>
      <c r="B396" s="76"/>
      <c r="C396" s="76"/>
      <c r="D396" s="76"/>
      <c r="E396" s="76"/>
      <c r="F396" s="76"/>
      <c r="G396" s="135"/>
      <c r="H396" s="135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>
      <c r="A397" s="76"/>
      <c r="B397" s="76"/>
      <c r="C397" s="76"/>
      <c r="D397" s="76"/>
      <c r="E397" s="76"/>
      <c r="F397" s="76"/>
      <c r="G397" s="135"/>
      <c r="H397" s="135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>
      <c r="A398" s="76"/>
      <c r="B398" s="76"/>
      <c r="C398" s="76"/>
      <c r="D398" s="76"/>
      <c r="E398" s="76"/>
      <c r="F398" s="76"/>
      <c r="G398" s="135"/>
      <c r="H398" s="135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>
      <c r="A399" s="76"/>
      <c r="B399" s="76"/>
      <c r="C399" s="76"/>
      <c r="D399" s="76"/>
      <c r="E399" s="76"/>
      <c r="F399" s="76"/>
      <c r="G399" s="135"/>
      <c r="H399" s="135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>
      <c r="A400" s="76"/>
      <c r="B400" s="76"/>
      <c r="C400" s="76"/>
      <c r="D400" s="76"/>
      <c r="E400" s="76"/>
      <c r="F400" s="76"/>
      <c r="G400" s="135"/>
      <c r="H400" s="135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>
      <c r="A401" s="76"/>
      <c r="B401" s="76"/>
      <c r="C401" s="76"/>
      <c r="D401" s="76"/>
      <c r="E401" s="76"/>
      <c r="F401" s="76"/>
      <c r="G401" s="135"/>
      <c r="H401" s="135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>
      <c r="A402" s="76"/>
      <c r="B402" s="76"/>
      <c r="C402" s="76"/>
      <c r="D402" s="76"/>
      <c r="E402" s="76"/>
      <c r="F402" s="76"/>
      <c r="G402" s="135"/>
      <c r="H402" s="135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>
      <c r="A403" s="76"/>
      <c r="B403" s="76"/>
      <c r="C403" s="76"/>
      <c r="D403" s="76"/>
      <c r="E403" s="76"/>
      <c r="F403" s="76"/>
      <c r="G403" s="135"/>
      <c r="H403" s="135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>
      <c r="A404" s="76"/>
      <c r="B404" s="76"/>
      <c r="C404" s="76"/>
      <c r="D404" s="76"/>
      <c r="E404" s="76"/>
      <c r="F404" s="76"/>
      <c r="G404" s="135"/>
      <c r="H404" s="135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>
      <c r="A405" s="76"/>
      <c r="B405" s="76"/>
      <c r="C405" s="76"/>
      <c r="D405" s="76"/>
      <c r="E405" s="76"/>
      <c r="F405" s="76"/>
      <c r="G405" s="135"/>
      <c r="H405" s="135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>
      <c r="A406" s="76"/>
      <c r="B406" s="76"/>
      <c r="C406" s="76"/>
      <c r="D406" s="76"/>
      <c r="E406" s="76"/>
      <c r="F406" s="76"/>
      <c r="G406" s="135"/>
      <c r="H406" s="135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>
      <c r="A407" s="76"/>
      <c r="B407" s="76"/>
      <c r="C407" s="76"/>
      <c r="D407" s="76"/>
      <c r="E407" s="76"/>
      <c r="F407" s="76"/>
      <c r="G407" s="135"/>
      <c r="H407" s="135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>
      <c r="A408" s="76"/>
      <c r="B408" s="76"/>
      <c r="C408" s="76"/>
      <c r="D408" s="76"/>
      <c r="E408" s="76"/>
      <c r="F408" s="76"/>
      <c r="G408" s="135"/>
      <c r="H408" s="135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>
      <c r="A409" s="76"/>
      <c r="B409" s="76"/>
      <c r="C409" s="76"/>
      <c r="D409" s="76"/>
      <c r="E409" s="76"/>
      <c r="F409" s="76"/>
      <c r="G409" s="135"/>
      <c r="H409" s="135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>
      <c r="A410" s="76"/>
      <c r="B410" s="76"/>
      <c r="C410" s="76"/>
      <c r="D410" s="76"/>
      <c r="E410" s="76"/>
      <c r="F410" s="76"/>
      <c r="G410" s="135"/>
      <c r="H410" s="135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>
      <c r="A411" s="76"/>
      <c r="B411" s="76"/>
      <c r="C411" s="76"/>
      <c r="D411" s="76"/>
      <c r="E411" s="76"/>
      <c r="F411" s="76"/>
      <c r="G411" s="135"/>
      <c r="H411" s="135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>
      <c r="A412" s="76"/>
      <c r="B412" s="76"/>
      <c r="C412" s="76"/>
      <c r="D412" s="76"/>
      <c r="E412" s="76"/>
      <c r="F412" s="76"/>
      <c r="G412" s="135"/>
      <c r="H412" s="135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>
      <c r="A413" s="76"/>
      <c r="B413" s="76"/>
      <c r="C413" s="76"/>
      <c r="D413" s="76"/>
      <c r="E413" s="76"/>
      <c r="F413" s="76"/>
      <c r="G413" s="135"/>
      <c r="H413" s="135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>
      <c r="A414" s="76"/>
      <c r="B414" s="76"/>
      <c r="C414" s="76"/>
      <c r="D414" s="76"/>
      <c r="E414" s="76"/>
      <c r="F414" s="76"/>
      <c r="G414" s="135"/>
      <c r="H414" s="135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>
      <c r="A415" s="76"/>
      <c r="B415" s="76"/>
      <c r="C415" s="76"/>
      <c r="D415" s="76"/>
      <c r="E415" s="76"/>
      <c r="F415" s="76"/>
      <c r="G415" s="135"/>
      <c r="H415" s="135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>
      <c r="A416" s="76"/>
      <c r="B416" s="76"/>
      <c r="C416" s="76"/>
      <c r="D416" s="76"/>
      <c r="E416" s="76"/>
      <c r="F416" s="76"/>
      <c r="G416" s="135"/>
      <c r="H416" s="135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>
      <c r="A417" s="76"/>
      <c r="B417" s="76"/>
      <c r="C417" s="76"/>
      <c r="D417" s="76"/>
      <c r="E417" s="76"/>
      <c r="F417" s="76"/>
      <c r="G417" s="135"/>
      <c r="H417" s="135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>
      <c r="A418" s="76"/>
      <c r="B418" s="76"/>
      <c r="C418" s="76"/>
      <c r="D418" s="76"/>
      <c r="E418" s="76"/>
      <c r="F418" s="76"/>
      <c r="G418" s="135"/>
      <c r="H418" s="135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>
      <c r="A419" s="76"/>
      <c r="B419" s="76"/>
      <c r="C419" s="76"/>
      <c r="D419" s="76"/>
      <c r="E419" s="76"/>
      <c r="F419" s="76"/>
      <c r="G419" s="135"/>
      <c r="H419" s="135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>
      <c r="A420" s="76"/>
      <c r="B420" s="76"/>
      <c r="C420" s="76"/>
      <c r="D420" s="76"/>
      <c r="E420" s="76"/>
      <c r="F420" s="76"/>
      <c r="G420" s="135"/>
      <c r="H420" s="135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>
      <c r="A421" s="76"/>
      <c r="B421" s="76"/>
      <c r="C421" s="76"/>
      <c r="D421" s="76"/>
      <c r="E421" s="76"/>
      <c r="F421" s="76"/>
      <c r="G421" s="135"/>
      <c r="H421" s="135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>
      <c r="A422" s="76"/>
      <c r="B422" s="76"/>
      <c r="C422" s="76"/>
      <c r="D422" s="76"/>
      <c r="E422" s="76"/>
      <c r="F422" s="76"/>
      <c r="G422" s="135"/>
      <c r="H422" s="135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>
      <c r="A423" s="76"/>
      <c r="B423" s="76"/>
      <c r="C423" s="76"/>
      <c r="D423" s="76"/>
      <c r="E423" s="76"/>
      <c r="F423" s="76"/>
      <c r="G423" s="135"/>
      <c r="H423" s="135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>
      <c r="A424" s="76"/>
      <c r="B424" s="76"/>
      <c r="C424" s="76"/>
      <c r="D424" s="76"/>
      <c r="E424" s="76"/>
      <c r="F424" s="76"/>
      <c r="G424" s="135"/>
      <c r="H424" s="135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>
      <c r="A425" s="76"/>
      <c r="B425" s="76"/>
      <c r="C425" s="76"/>
      <c r="D425" s="76"/>
      <c r="E425" s="76"/>
      <c r="F425" s="76"/>
      <c r="G425" s="135"/>
      <c r="H425" s="135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>
      <c r="A426" s="76"/>
      <c r="B426" s="76"/>
      <c r="C426" s="76"/>
      <c r="D426" s="76"/>
      <c r="E426" s="76"/>
      <c r="F426" s="76"/>
      <c r="G426" s="135"/>
      <c r="H426" s="135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>
      <c r="A427" s="76"/>
      <c r="B427" s="76"/>
      <c r="C427" s="76"/>
      <c r="D427" s="76"/>
      <c r="E427" s="76"/>
      <c r="F427" s="76"/>
      <c r="G427" s="135"/>
      <c r="H427" s="135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>
      <c r="A428" s="76"/>
      <c r="B428" s="76"/>
      <c r="C428" s="76"/>
      <c r="D428" s="76"/>
      <c r="E428" s="76"/>
      <c r="F428" s="76"/>
      <c r="G428" s="135"/>
      <c r="H428" s="135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>
      <c r="A429" s="76"/>
      <c r="B429" s="76"/>
      <c r="C429" s="76"/>
      <c r="D429" s="76"/>
      <c r="E429" s="76"/>
      <c r="F429" s="76"/>
      <c r="G429" s="135"/>
      <c r="H429" s="135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>
      <c r="A430" s="76"/>
      <c r="B430" s="76"/>
      <c r="C430" s="76"/>
      <c r="D430" s="76"/>
      <c r="E430" s="76"/>
      <c r="F430" s="76"/>
      <c r="G430" s="135"/>
      <c r="H430" s="135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>
      <c r="A431" s="76"/>
      <c r="B431" s="76"/>
      <c r="C431" s="76"/>
      <c r="D431" s="76"/>
      <c r="E431" s="76"/>
      <c r="F431" s="76"/>
      <c r="G431" s="135"/>
      <c r="H431" s="135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>
      <c r="A432" s="76"/>
      <c r="B432" s="76"/>
      <c r="C432" s="76"/>
      <c r="D432" s="76"/>
      <c r="E432" s="76"/>
      <c r="F432" s="76"/>
      <c r="G432" s="135"/>
      <c r="H432" s="135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>
      <c r="A433" s="76"/>
      <c r="B433" s="76"/>
      <c r="C433" s="76"/>
      <c r="D433" s="76"/>
      <c r="E433" s="76"/>
      <c r="F433" s="76"/>
      <c r="G433" s="135"/>
      <c r="H433" s="135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>
      <c r="A434" s="76"/>
      <c r="B434" s="76"/>
      <c r="C434" s="76"/>
      <c r="D434" s="76"/>
      <c r="E434" s="76"/>
      <c r="F434" s="76"/>
      <c r="G434" s="135"/>
      <c r="H434" s="135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>
      <c r="A435" s="76"/>
      <c r="B435" s="76"/>
      <c r="C435" s="76"/>
      <c r="D435" s="76"/>
      <c r="E435" s="76"/>
      <c r="F435" s="76"/>
      <c r="G435" s="135"/>
      <c r="H435" s="135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>
      <c r="A436" s="76"/>
      <c r="B436" s="76"/>
      <c r="C436" s="76"/>
      <c r="D436" s="76"/>
      <c r="E436" s="76"/>
      <c r="F436" s="76"/>
      <c r="G436" s="135"/>
      <c r="H436" s="135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>
      <c r="A437" s="76"/>
      <c r="B437" s="76"/>
      <c r="C437" s="76"/>
      <c r="D437" s="76"/>
      <c r="E437" s="76"/>
      <c r="F437" s="76"/>
      <c r="G437" s="135"/>
      <c r="H437" s="135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>
      <c r="A438" s="76"/>
      <c r="B438" s="76"/>
      <c r="C438" s="76"/>
      <c r="D438" s="76"/>
      <c r="E438" s="76"/>
      <c r="F438" s="76"/>
      <c r="G438" s="135"/>
      <c r="H438" s="135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>
      <c r="A439" s="76"/>
      <c r="B439" s="76"/>
      <c r="C439" s="76"/>
      <c r="D439" s="76"/>
      <c r="E439" s="76"/>
      <c r="F439" s="76"/>
      <c r="G439" s="135"/>
      <c r="H439" s="135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>
      <c r="A440" s="76"/>
      <c r="B440" s="76"/>
      <c r="C440" s="76"/>
      <c r="D440" s="76"/>
      <c r="E440" s="76"/>
      <c r="F440" s="76"/>
      <c r="G440" s="135"/>
      <c r="H440" s="135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>
      <c r="A441" s="76"/>
      <c r="B441" s="76"/>
      <c r="C441" s="76"/>
      <c r="D441" s="76"/>
      <c r="E441" s="76"/>
      <c r="F441" s="76"/>
      <c r="G441" s="135"/>
      <c r="H441" s="135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>
      <c r="A442" s="76"/>
      <c r="B442" s="76"/>
      <c r="C442" s="76"/>
      <c r="D442" s="76"/>
      <c r="E442" s="76"/>
      <c r="F442" s="76"/>
      <c r="G442" s="135"/>
      <c r="H442" s="135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>
      <c r="A443" s="76"/>
      <c r="B443" s="76"/>
      <c r="C443" s="76"/>
      <c r="D443" s="76"/>
      <c r="E443" s="76"/>
      <c r="F443" s="76"/>
      <c r="G443" s="135"/>
      <c r="H443" s="135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>
      <c r="A444" s="76"/>
      <c r="B444" s="76"/>
      <c r="C444" s="76"/>
      <c r="D444" s="76"/>
      <c r="E444" s="76"/>
      <c r="F444" s="76"/>
      <c r="G444" s="135"/>
      <c r="H444" s="135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>
      <c r="A445" s="76"/>
      <c r="B445" s="76"/>
      <c r="C445" s="76"/>
      <c r="D445" s="76"/>
      <c r="E445" s="76"/>
      <c r="F445" s="76"/>
      <c r="G445" s="135"/>
      <c r="H445" s="135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>
      <c r="A446" s="76"/>
      <c r="B446" s="76"/>
      <c r="C446" s="76"/>
      <c r="D446" s="76"/>
      <c r="E446" s="76"/>
      <c r="F446" s="76"/>
      <c r="G446" s="135"/>
      <c r="H446" s="135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>
      <c r="A447" s="76"/>
      <c r="B447" s="76"/>
      <c r="C447" s="76"/>
      <c r="D447" s="76"/>
      <c r="E447" s="76"/>
      <c r="F447" s="76"/>
      <c r="G447" s="135"/>
      <c r="H447" s="135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>
      <c r="A448" s="76"/>
      <c r="B448" s="76"/>
      <c r="C448" s="76"/>
      <c r="D448" s="76"/>
      <c r="E448" s="76"/>
      <c r="F448" s="76"/>
      <c r="G448" s="135"/>
      <c r="H448" s="135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>
      <c r="A449" s="76"/>
      <c r="B449" s="76"/>
      <c r="C449" s="76"/>
      <c r="D449" s="76"/>
      <c r="E449" s="76"/>
      <c r="F449" s="76"/>
      <c r="G449" s="135"/>
      <c r="H449" s="135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>
      <c r="A450" s="76"/>
      <c r="B450" s="76"/>
      <c r="C450" s="76"/>
      <c r="D450" s="76"/>
      <c r="E450" s="76"/>
      <c r="F450" s="76"/>
      <c r="G450" s="135"/>
      <c r="H450" s="135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>
      <c r="A451" s="76"/>
      <c r="B451" s="76"/>
      <c r="C451" s="76"/>
      <c r="D451" s="76"/>
      <c r="E451" s="76"/>
      <c r="F451" s="76"/>
      <c r="G451" s="135"/>
      <c r="H451" s="135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>
      <c r="A452" s="76"/>
      <c r="B452" s="76"/>
      <c r="C452" s="76"/>
      <c r="D452" s="76"/>
      <c r="E452" s="76"/>
      <c r="F452" s="76"/>
      <c r="G452" s="135"/>
      <c r="H452" s="135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>
      <c r="A453" s="76"/>
      <c r="B453" s="76"/>
      <c r="C453" s="76"/>
      <c r="D453" s="76"/>
      <c r="E453" s="76"/>
      <c r="F453" s="76"/>
      <c r="G453" s="135"/>
      <c r="H453" s="135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>
      <c r="A454" s="76"/>
      <c r="B454" s="76"/>
      <c r="C454" s="76"/>
      <c r="D454" s="76"/>
      <c r="E454" s="76"/>
      <c r="F454" s="76"/>
      <c r="G454" s="135"/>
      <c r="H454" s="135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>
      <c r="A455" s="76"/>
      <c r="B455" s="76"/>
      <c r="C455" s="76"/>
      <c r="D455" s="76"/>
      <c r="E455" s="76"/>
      <c r="F455" s="76"/>
      <c r="G455" s="135"/>
      <c r="H455" s="135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>
      <c r="A456" s="76"/>
      <c r="B456" s="76"/>
      <c r="C456" s="76"/>
      <c r="D456" s="76"/>
      <c r="E456" s="76"/>
      <c r="F456" s="76"/>
      <c r="G456" s="135"/>
      <c r="H456" s="135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>
      <c r="A457" s="76"/>
      <c r="B457" s="76"/>
      <c r="C457" s="76"/>
      <c r="D457" s="76"/>
      <c r="E457" s="76"/>
      <c r="F457" s="76"/>
      <c r="G457" s="135"/>
      <c r="H457" s="135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>
      <c r="A458" s="76"/>
      <c r="B458" s="76"/>
      <c r="C458" s="76"/>
      <c r="D458" s="76"/>
      <c r="E458" s="76"/>
      <c r="F458" s="76"/>
      <c r="G458" s="135"/>
      <c r="H458" s="135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>
      <c r="A459" s="76"/>
      <c r="B459" s="76"/>
      <c r="C459" s="76"/>
      <c r="D459" s="76"/>
      <c r="E459" s="76"/>
      <c r="F459" s="76"/>
      <c r="G459" s="135"/>
      <c r="H459" s="135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>
      <c r="A460" s="76"/>
      <c r="B460" s="76"/>
      <c r="C460" s="76"/>
      <c r="D460" s="76"/>
      <c r="E460" s="76"/>
      <c r="F460" s="76"/>
      <c r="G460" s="135"/>
      <c r="H460" s="135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>
      <c r="A461" s="76"/>
      <c r="B461" s="76"/>
      <c r="C461" s="76"/>
      <c r="D461" s="76"/>
      <c r="E461" s="76"/>
      <c r="F461" s="76"/>
      <c r="G461" s="135"/>
      <c r="H461" s="135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>
      <c r="A462" s="76"/>
      <c r="B462" s="76"/>
      <c r="C462" s="76"/>
      <c r="D462" s="76"/>
      <c r="E462" s="76"/>
      <c r="F462" s="76"/>
      <c r="G462" s="135"/>
      <c r="H462" s="135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>
      <c r="A463" s="76"/>
      <c r="B463" s="76"/>
      <c r="C463" s="76"/>
      <c r="D463" s="76"/>
      <c r="E463" s="76"/>
      <c r="F463" s="76"/>
      <c r="G463" s="135"/>
      <c r="H463" s="135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>
      <c r="A464" s="76"/>
      <c r="B464" s="76"/>
      <c r="C464" s="76"/>
      <c r="D464" s="76"/>
      <c r="E464" s="76"/>
      <c r="F464" s="76"/>
      <c r="G464" s="135"/>
      <c r="H464" s="135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>
      <c r="A465" s="76"/>
      <c r="B465" s="76"/>
      <c r="C465" s="76"/>
      <c r="D465" s="76"/>
      <c r="E465" s="76"/>
      <c r="F465" s="76"/>
      <c r="G465" s="135"/>
      <c r="H465" s="135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>
      <c r="A466" s="76"/>
      <c r="B466" s="76"/>
      <c r="C466" s="76"/>
      <c r="D466" s="76"/>
      <c r="E466" s="76"/>
      <c r="F466" s="76"/>
      <c r="G466" s="135"/>
      <c r="H466" s="135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>
      <c r="A467" s="76"/>
      <c r="B467" s="76"/>
      <c r="C467" s="76"/>
      <c r="D467" s="76"/>
      <c r="E467" s="76"/>
      <c r="F467" s="76"/>
      <c r="G467" s="135"/>
      <c r="H467" s="135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>
      <c r="A468" s="76"/>
      <c r="B468" s="76"/>
      <c r="C468" s="76"/>
      <c r="D468" s="76"/>
      <c r="E468" s="76"/>
      <c r="F468" s="76"/>
      <c r="G468" s="135"/>
      <c r="H468" s="135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>
      <c r="A469" s="76"/>
      <c r="B469" s="76"/>
      <c r="C469" s="76"/>
      <c r="D469" s="76"/>
      <c r="E469" s="76"/>
      <c r="F469" s="76"/>
      <c r="G469" s="135"/>
      <c r="H469" s="135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>
      <c r="A470" s="76"/>
      <c r="B470" s="76"/>
      <c r="C470" s="76"/>
      <c r="D470" s="76"/>
      <c r="E470" s="76"/>
      <c r="F470" s="76"/>
      <c r="G470" s="135"/>
      <c r="H470" s="135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>
      <c r="A471" s="76"/>
      <c r="B471" s="76"/>
      <c r="C471" s="76"/>
      <c r="D471" s="76"/>
      <c r="E471" s="76"/>
      <c r="F471" s="76"/>
      <c r="G471" s="135"/>
      <c r="H471" s="135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>
      <c r="A472" s="76"/>
      <c r="B472" s="76"/>
      <c r="C472" s="76"/>
      <c r="D472" s="76"/>
      <c r="E472" s="76"/>
      <c r="F472" s="76"/>
      <c r="G472" s="135"/>
      <c r="H472" s="135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>
      <c r="A473" s="76"/>
      <c r="B473" s="76"/>
      <c r="C473" s="76"/>
      <c r="D473" s="76"/>
      <c r="E473" s="76"/>
      <c r="F473" s="76"/>
      <c r="G473" s="135"/>
      <c r="H473" s="135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>
      <c r="A474" s="76"/>
      <c r="B474" s="76"/>
      <c r="C474" s="76"/>
      <c r="D474" s="76"/>
      <c r="E474" s="76"/>
      <c r="F474" s="76"/>
      <c r="G474" s="135"/>
      <c r="H474" s="135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>
      <c r="A475" s="76"/>
      <c r="B475" s="76"/>
      <c r="C475" s="76"/>
      <c r="D475" s="76"/>
      <c r="E475" s="76"/>
      <c r="F475" s="76"/>
      <c r="G475" s="135"/>
      <c r="H475" s="135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>
      <c r="A476" s="76"/>
      <c r="B476" s="76"/>
      <c r="C476" s="76"/>
      <c r="D476" s="76"/>
      <c r="E476" s="76"/>
      <c r="F476" s="76"/>
      <c r="G476" s="135"/>
      <c r="H476" s="135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>
      <c r="A477" s="76"/>
      <c r="B477" s="76"/>
      <c r="C477" s="76"/>
      <c r="D477" s="76"/>
      <c r="E477" s="76"/>
      <c r="F477" s="76"/>
      <c r="G477" s="135"/>
      <c r="H477" s="135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>
      <c r="A478" s="76"/>
      <c r="B478" s="76"/>
      <c r="C478" s="76"/>
      <c r="D478" s="76"/>
      <c r="E478" s="76"/>
      <c r="F478" s="76"/>
      <c r="G478" s="135"/>
      <c r="H478" s="135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>
      <c r="A479" s="76"/>
      <c r="B479" s="76"/>
      <c r="C479" s="76"/>
      <c r="D479" s="76"/>
      <c r="E479" s="76"/>
      <c r="F479" s="76"/>
      <c r="G479" s="135"/>
      <c r="H479" s="135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>
      <c r="A480" s="76"/>
      <c r="B480" s="76"/>
      <c r="C480" s="76"/>
      <c r="D480" s="76"/>
      <c r="E480" s="76"/>
      <c r="F480" s="76"/>
      <c r="G480" s="135"/>
      <c r="H480" s="135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>
      <c r="A481" s="76"/>
      <c r="B481" s="76"/>
      <c r="C481" s="76"/>
      <c r="D481" s="76"/>
      <c r="E481" s="76"/>
      <c r="F481" s="76"/>
      <c r="G481" s="135"/>
      <c r="H481" s="135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>
      <c r="A482" s="76"/>
      <c r="B482" s="76"/>
      <c r="C482" s="76"/>
      <c r="D482" s="76"/>
      <c r="E482" s="76"/>
      <c r="F482" s="76"/>
      <c r="G482" s="135"/>
      <c r="H482" s="135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>
      <c r="A483" s="76"/>
      <c r="B483" s="76"/>
      <c r="C483" s="76"/>
      <c r="D483" s="76"/>
      <c r="E483" s="76"/>
      <c r="F483" s="76"/>
      <c r="G483" s="135"/>
      <c r="H483" s="135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>
      <c r="A484" s="76"/>
      <c r="B484" s="76"/>
      <c r="C484" s="76"/>
      <c r="D484" s="76"/>
      <c r="E484" s="76"/>
      <c r="F484" s="76"/>
      <c r="G484" s="135"/>
      <c r="H484" s="135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>
      <c r="A485" s="76"/>
      <c r="B485" s="76"/>
      <c r="C485" s="76"/>
      <c r="D485" s="76"/>
      <c r="E485" s="76"/>
      <c r="F485" s="76"/>
      <c r="G485" s="135"/>
      <c r="H485" s="135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>
      <c r="A486" s="76"/>
      <c r="B486" s="76"/>
      <c r="C486" s="76"/>
      <c r="D486" s="76"/>
      <c r="E486" s="76"/>
      <c r="F486" s="76"/>
      <c r="G486" s="135"/>
      <c r="H486" s="135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>
      <c r="A487" s="76"/>
      <c r="B487" s="76"/>
      <c r="C487" s="76"/>
      <c r="D487" s="76"/>
      <c r="E487" s="76"/>
      <c r="F487" s="76"/>
      <c r="G487" s="135"/>
      <c r="H487" s="135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>
      <c r="A488" s="76"/>
      <c r="B488" s="76"/>
      <c r="C488" s="76"/>
      <c r="D488" s="76"/>
      <c r="E488" s="76"/>
      <c r="F488" s="76"/>
      <c r="G488" s="135"/>
      <c r="H488" s="135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>
      <c r="A489" s="76"/>
      <c r="B489" s="76"/>
      <c r="C489" s="76"/>
      <c r="D489" s="76"/>
      <c r="E489" s="76"/>
      <c r="F489" s="76"/>
      <c r="G489" s="135"/>
      <c r="H489" s="135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>
      <c r="A490" s="76"/>
      <c r="B490" s="76"/>
      <c r="C490" s="76"/>
      <c r="D490" s="76"/>
      <c r="E490" s="76"/>
      <c r="F490" s="76"/>
      <c r="G490" s="135"/>
      <c r="H490" s="135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>
      <c r="A491" s="76"/>
      <c r="B491" s="76"/>
      <c r="C491" s="76"/>
      <c r="D491" s="76"/>
      <c r="E491" s="76"/>
      <c r="F491" s="76"/>
      <c r="G491" s="135"/>
      <c r="H491" s="135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>
      <c r="A492" s="76"/>
      <c r="B492" s="76"/>
      <c r="C492" s="76"/>
      <c r="D492" s="76"/>
      <c r="E492" s="76"/>
      <c r="F492" s="76"/>
      <c r="G492" s="135"/>
      <c r="H492" s="135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>
      <c r="A493" s="76"/>
      <c r="B493" s="76"/>
      <c r="C493" s="76"/>
      <c r="D493" s="76"/>
      <c r="E493" s="76"/>
      <c r="F493" s="76"/>
      <c r="G493" s="135"/>
      <c r="H493" s="135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>
      <c r="A494" s="76"/>
      <c r="B494" s="76"/>
      <c r="C494" s="76"/>
      <c r="D494" s="76"/>
      <c r="E494" s="76"/>
      <c r="F494" s="76"/>
      <c r="G494" s="135"/>
      <c r="H494" s="135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>
      <c r="A495" s="76"/>
      <c r="B495" s="76"/>
      <c r="C495" s="76"/>
      <c r="D495" s="76"/>
      <c r="E495" s="76"/>
      <c r="F495" s="76"/>
      <c r="G495" s="135"/>
      <c r="H495" s="135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>
      <c r="A496" s="76"/>
      <c r="B496" s="76"/>
      <c r="C496" s="76"/>
      <c r="D496" s="76"/>
      <c r="E496" s="76"/>
      <c r="F496" s="76"/>
      <c r="G496" s="135"/>
      <c r="H496" s="135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>
      <c r="A497" s="76"/>
      <c r="B497" s="76"/>
      <c r="C497" s="76"/>
      <c r="D497" s="76"/>
      <c r="E497" s="76"/>
      <c r="F497" s="76"/>
      <c r="G497" s="135"/>
      <c r="H497" s="135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>
      <c r="A498" s="76"/>
      <c r="B498" s="76"/>
      <c r="C498" s="76"/>
      <c r="D498" s="76"/>
      <c r="E498" s="76"/>
      <c r="F498" s="76"/>
      <c r="G498" s="135"/>
      <c r="H498" s="135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>
      <c r="A499" s="76"/>
      <c r="B499" s="76"/>
      <c r="C499" s="76"/>
      <c r="D499" s="76"/>
      <c r="E499" s="76"/>
      <c r="F499" s="76"/>
      <c r="G499" s="135"/>
      <c r="H499" s="135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>
      <c r="A500" s="76"/>
      <c r="B500" s="76"/>
      <c r="C500" s="76"/>
      <c r="D500" s="76"/>
      <c r="E500" s="76"/>
      <c r="F500" s="76"/>
      <c r="G500" s="135"/>
      <c r="H500" s="135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>
      <c r="A501" s="76"/>
      <c r="B501" s="76"/>
      <c r="C501" s="76"/>
      <c r="D501" s="76"/>
      <c r="E501" s="76"/>
      <c r="F501" s="76"/>
      <c r="G501" s="135"/>
      <c r="H501" s="135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>
      <c r="A502" s="76"/>
      <c r="B502" s="76"/>
      <c r="C502" s="76"/>
      <c r="D502" s="76"/>
      <c r="E502" s="76"/>
      <c r="F502" s="76"/>
      <c r="G502" s="135"/>
      <c r="H502" s="135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>
      <c r="A503" s="76"/>
      <c r="B503" s="76"/>
      <c r="C503" s="76"/>
      <c r="D503" s="76"/>
      <c r="E503" s="76"/>
      <c r="F503" s="76"/>
      <c r="G503" s="135"/>
      <c r="H503" s="135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>
      <c r="A504" s="76"/>
      <c r="B504" s="76"/>
      <c r="C504" s="76"/>
      <c r="D504" s="76"/>
      <c r="E504" s="76"/>
      <c r="F504" s="76"/>
      <c r="G504" s="135"/>
      <c r="H504" s="135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>
      <c r="A505" s="76"/>
      <c r="B505" s="76"/>
      <c r="C505" s="76"/>
      <c r="D505" s="76"/>
      <c r="E505" s="76"/>
      <c r="F505" s="76"/>
      <c r="G505" s="135"/>
      <c r="H505" s="135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>
      <c r="A506" s="76"/>
      <c r="B506" s="76"/>
      <c r="C506" s="76"/>
      <c r="D506" s="76"/>
      <c r="E506" s="76"/>
      <c r="F506" s="76"/>
      <c r="G506" s="135"/>
      <c r="H506" s="135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>
      <c r="A507" s="76"/>
      <c r="B507" s="76"/>
      <c r="C507" s="76"/>
      <c r="D507" s="76"/>
      <c r="E507" s="76"/>
      <c r="F507" s="76"/>
      <c r="G507" s="135"/>
      <c r="H507" s="135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>
      <c r="A508" s="76"/>
      <c r="B508" s="76"/>
      <c r="C508" s="76"/>
      <c r="D508" s="76"/>
      <c r="E508" s="76"/>
      <c r="F508" s="76"/>
      <c r="G508" s="135"/>
      <c r="H508" s="135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>
      <c r="A509" s="76"/>
      <c r="B509" s="76"/>
      <c r="C509" s="76"/>
      <c r="D509" s="76"/>
      <c r="E509" s="76"/>
      <c r="F509" s="76"/>
      <c r="G509" s="135"/>
      <c r="H509" s="135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>
      <c r="A510" s="76"/>
      <c r="B510" s="76"/>
      <c r="C510" s="76"/>
      <c r="D510" s="76"/>
      <c r="E510" s="76"/>
      <c r="F510" s="76"/>
      <c r="G510" s="135"/>
      <c r="H510" s="135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>
      <c r="A511" s="76"/>
      <c r="B511" s="76"/>
      <c r="C511" s="76"/>
      <c r="D511" s="76"/>
      <c r="E511" s="76"/>
      <c r="F511" s="76"/>
      <c r="G511" s="135"/>
      <c r="H511" s="135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>
      <c r="A512" s="76"/>
      <c r="B512" s="76"/>
      <c r="C512" s="76"/>
      <c r="D512" s="76"/>
      <c r="E512" s="76"/>
      <c r="F512" s="76"/>
      <c r="G512" s="135"/>
      <c r="H512" s="135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>
      <c r="A513" s="76"/>
      <c r="B513" s="76"/>
      <c r="C513" s="76"/>
      <c r="D513" s="76"/>
      <c r="E513" s="76"/>
      <c r="F513" s="76"/>
      <c r="G513" s="135"/>
      <c r="H513" s="135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>
      <c r="A514" s="76"/>
      <c r="B514" s="76"/>
      <c r="C514" s="76"/>
      <c r="D514" s="76"/>
      <c r="E514" s="76"/>
      <c r="F514" s="76"/>
      <c r="G514" s="135"/>
      <c r="H514" s="135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>
      <c r="A515" s="76"/>
      <c r="B515" s="76"/>
      <c r="C515" s="76"/>
      <c r="D515" s="76"/>
      <c r="E515" s="76"/>
      <c r="F515" s="76"/>
      <c r="G515" s="135"/>
      <c r="H515" s="135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>
      <c r="A516" s="76"/>
      <c r="B516" s="76"/>
      <c r="C516" s="76"/>
      <c r="D516" s="76"/>
      <c r="E516" s="76"/>
      <c r="F516" s="76"/>
      <c r="G516" s="135"/>
      <c r="H516" s="135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>
      <c r="A517" s="76"/>
      <c r="B517" s="76"/>
      <c r="C517" s="76"/>
      <c r="D517" s="76"/>
      <c r="E517" s="76"/>
      <c r="F517" s="76"/>
      <c r="G517" s="135"/>
      <c r="H517" s="135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>
      <c r="A518" s="76"/>
      <c r="B518" s="76"/>
      <c r="C518" s="76"/>
      <c r="D518" s="76"/>
      <c r="E518" s="76"/>
      <c r="F518" s="76"/>
      <c r="G518" s="135"/>
      <c r="H518" s="135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>
      <c r="A519" s="76"/>
      <c r="B519" s="76"/>
      <c r="C519" s="76"/>
      <c r="D519" s="76"/>
      <c r="E519" s="76"/>
      <c r="F519" s="76"/>
      <c r="G519" s="135"/>
      <c r="H519" s="135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>
      <c r="A520" s="76"/>
      <c r="B520" s="76"/>
      <c r="C520" s="76"/>
      <c r="D520" s="76"/>
      <c r="E520" s="76"/>
      <c r="F520" s="76"/>
      <c r="G520" s="135"/>
      <c r="H520" s="135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>
      <c r="A521" s="76"/>
      <c r="B521" s="76"/>
      <c r="C521" s="76"/>
      <c r="D521" s="76"/>
      <c r="E521" s="76"/>
      <c r="F521" s="76"/>
      <c r="G521" s="135"/>
      <c r="H521" s="135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>
      <c r="A522" s="76"/>
      <c r="B522" s="76"/>
      <c r="C522" s="76"/>
      <c r="D522" s="76"/>
      <c r="E522" s="76"/>
      <c r="F522" s="76"/>
      <c r="G522" s="135"/>
      <c r="H522" s="135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>
      <c r="A523" s="76"/>
      <c r="B523" s="76"/>
      <c r="C523" s="76"/>
      <c r="D523" s="76"/>
      <c r="E523" s="76"/>
      <c r="F523" s="76"/>
      <c r="G523" s="135"/>
      <c r="H523" s="135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>
      <c r="A524" s="76"/>
      <c r="B524" s="76"/>
      <c r="C524" s="76"/>
      <c r="D524" s="76"/>
      <c r="E524" s="76"/>
      <c r="F524" s="76"/>
      <c r="G524" s="135"/>
      <c r="H524" s="135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>
      <c r="A525" s="76"/>
      <c r="B525" s="76"/>
      <c r="C525" s="76"/>
      <c r="D525" s="76"/>
      <c r="E525" s="76"/>
      <c r="F525" s="76"/>
      <c r="G525" s="135"/>
      <c r="H525" s="135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>
      <c r="A526" s="76"/>
      <c r="B526" s="76"/>
      <c r="C526" s="76"/>
      <c r="D526" s="76"/>
      <c r="E526" s="76"/>
      <c r="F526" s="76"/>
      <c r="G526" s="135"/>
      <c r="H526" s="135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>
      <c r="A527" s="76"/>
      <c r="B527" s="76"/>
      <c r="C527" s="76"/>
      <c r="D527" s="76"/>
      <c r="E527" s="76"/>
      <c r="F527" s="76"/>
      <c r="G527" s="135"/>
      <c r="H527" s="135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>
      <c r="A528" s="76"/>
      <c r="B528" s="76"/>
      <c r="C528" s="76"/>
      <c r="D528" s="76"/>
      <c r="E528" s="76"/>
      <c r="F528" s="76"/>
      <c r="G528" s="135"/>
      <c r="H528" s="135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>
      <c r="A529" s="76"/>
      <c r="B529" s="76"/>
      <c r="C529" s="76"/>
      <c r="D529" s="76"/>
      <c r="E529" s="76"/>
      <c r="F529" s="76"/>
      <c r="G529" s="135"/>
      <c r="H529" s="135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>
      <c r="A530" s="76"/>
      <c r="B530" s="76"/>
      <c r="C530" s="76"/>
      <c r="D530" s="76"/>
      <c r="E530" s="76"/>
      <c r="F530" s="76"/>
      <c r="G530" s="135"/>
      <c r="H530" s="135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>
      <c r="A531" s="76"/>
      <c r="B531" s="76"/>
      <c r="C531" s="76"/>
      <c r="D531" s="76"/>
      <c r="E531" s="76"/>
      <c r="F531" s="76"/>
      <c r="G531" s="135"/>
      <c r="H531" s="135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>
      <c r="A532" s="76"/>
      <c r="B532" s="76"/>
      <c r="C532" s="76"/>
      <c r="D532" s="76"/>
      <c r="E532" s="76"/>
      <c r="F532" s="76"/>
      <c r="G532" s="135"/>
      <c r="H532" s="135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>
      <c r="A533" s="76"/>
      <c r="B533" s="76"/>
      <c r="C533" s="76"/>
      <c r="D533" s="76"/>
      <c r="E533" s="76"/>
      <c r="F533" s="76"/>
      <c r="G533" s="135"/>
      <c r="H533" s="135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>
      <c r="A534" s="76"/>
      <c r="B534" s="76"/>
      <c r="C534" s="76"/>
      <c r="D534" s="76"/>
      <c r="E534" s="76"/>
      <c r="F534" s="76"/>
      <c r="G534" s="135"/>
      <c r="H534" s="135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>
      <c r="A535" s="76"/>
      <c r="B535" s="76"/>
      <c r="C535" s="76"/>
      <c r="D535" s="76"/>
      <c r="E535" s="76"/>
      <c r="F535" s="76"/>
      <c r="G535" s="135"/>
      <c r="H535" s="135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>
      <c r="A536" s="76"/>
      <c r="B536" s="76"/>
      <c r="C536" s="76"/>
      <c r="D536" s="76"/>
      <c r="E536" s="76"/>
      <c r="F536" s="76"/>
      <c r="G536" s="135"/>
      <c r="H536" s="135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>
      <c r="A537" s="76"/>
      <c r="B537" s="76"/>
      <c r="C537" s="76"/>
      <c r="D537" s="76"/>
      <c r="E537" s="76"/>
      <c r="F537" s="76"/>
      <c r="G537" s="135"/>
      <c r="H537" s="135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>
      <c r="A538" s="76"/>
      <c r="B538" s="76"/>
      <c r="C538" s="76"/>
      <c r="D538" s="76"/>
      <c r="E538" s="76"/>
      <c r="F538" s="76"/>
      <c r="G538" s="135"/>
      <c r="H538" s="135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>
      <c r="A539" s="76"/>
      <c r="B539" s="76"/>
      <c r="C539" s="76"/>
      <c r="D539" s="76"/>
      <c r="E539" s="76"/>
      <c r="F539" s="76"/>
      <c r="G539" s="135"/>
      <c r="H539" s="135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>
      <c r="A540" s="76"/>
      <c r="B540" s="76"/>
      <c r="C540" s="76"/>
      <c r="D540" s="76"/>
      <c r="E540" s="76"/>
      <c r="F540" s="76"/>
      <c r="G540" s="135"/>
      <c r="H540" s="135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>
      <c r="A541" s="76"/>
      <c r="B541" s="76"/>
      <c r="C541" s="76"/>
      <c r="D541" s="76"/>
      <c r="E541" s="76"/>
      <c r="F541" s="76"/>
      <c r="G541" s="135"/>
      <c r="H541" s="135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>
      <c r="A542" s="76"/>
      <c r="B542" s="76"/>
      <c r="C542" s="76"/>
      <c r="D542" s="76"/>
      <c r="E542" s="76"/>
      <c r="F542" s="76"/>
      <c r="G542" s="135"/>
      <c r="H542" s="135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>
      <c r="A543" s="76"/>
      <c r="B543" s="76"/>
      <c r="C543" s="76"/>
      <c r="D543" s="76"/>
      <c r="E543" s="76"/>
      <c r="F543" s="76"/>
      <c r="G543" s="135"/>
      <c r="H543" s="135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>
      <c r="A544" s="76"/>
      <c r="B544" s="76"/>
      <c r="C544" s="76"/>
      <c r="D544" s="76"/>
      <c r="E544" s="76"/>
      <c r="F544" s="76"/>
      <c r="G544" s="135"/>
      <c r="H544" s="135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>
      <c r="A545" s="76"/>
      <c r="B545" s="76"/>
      <c r="C545" s="76"/>
      <c r="D545" s="76"/>
      <c r="E545" s="76"/>
      <c r="F545" s="76"/>
      <c r="G545" s="135"/>
      <c r="H545" s="135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>
      <c r="A546" s="76"/>
      <c r="B546" s="76"/>
      <c r="C546" s="76"/>
      <c r="D546" s="76"/>
      <c r="E546" s="76"/>
      <c r="F546" s="76"/>
      <c r="G546" s="135"/>
      <c r="H546" s="135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>
      <c r="A547" s="76"/>
      <c r="B547" s="76"/>
      <c r="C547" s="76"/>
      <c r="D547" s="76"/>
      <c r="E547" s="76"/>
      <c r="F547" s="76"/>
      <c r="G547" s="135"/>
      <c r="H547" s="135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>
      <c r="A548" s="76"/>
      <c r="B548" s="76"/>
      <c r="C548" s="76"/>
      <c r="D548" s="76"/>
      <c r="E548" s="76"/>
      <c r="F548" s="76"/>
      <c r="G548" s="135"/>
      <c r="H548" s="135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>
      <c r="A549" s="76"/>
      <c r="B549" s="76"/>
      <c r="C549" s="76"/>
      <c r="D549" s="76"/>
      <c r="E549" s="76"/>
      <c r="F549" s="76"/>
      <c r="G549" s="135"/>
      <c r="H549" s="135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>
      <c r="A550" s="76"/>
      <c r="B550" s="76"/>
      <c r="C550" s="76"/>
      <c r="D550" s="76"/>
      <c r="E550" s="76"/>
      <c r="F550" s="76"/>
      <c r="G550" s="135"/>
      <c r="H550" s="135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>
      <c r="A551" s="76"/>
      <c r="B551" s="76"/>
      <c r="C551" s="76"/>
      <c r="D551" s="76"/>
      <c r="E551" s="76"/>
      <c r="F551" s="76"/>
      <c r="G551" s="135"/>
      <c r="H551" s="135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>
      <c r="A552" s="76"/>
      <c r="B552" s="76"/>
      <c r="C552" s="76"/>
      <c r="D552" s="76"/>
      <c r="E552" s="76"/>
      <c r="F552" s="76"/>
      <c r="G552" s="135"/>
      <c r="H552" s="135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>
      <c r="A553" s="76"/>
      <c r="B553" s="76"/>
      <c r="C553" s="76"/>
      <c r="D553" s="76"/>
      <c r="E553" s="76"/>
      <c r="F553" s="76"/>
      <c r="G553" s="135"/>
      <c r="H553" s="135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>
      <c r="A554" s="76"/>
      <c r="B554" s="76"/>
      <c r="C554" s="76"/>
      <c r="D554" s="76"/>
      <c r="E554" s="76"/>
      <c r="F554" s="76"/>
      <c r="G554" s="135"/>
      <c r="H554" s="135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>
      <c r="A555" s="76"/>
      <c r="B555" s="76"/>
      <c r="C555" s="76"/>
      <c r="D555" s="76"/>
      <c r="E555" s="76"/>
      <c r="F555" s="76"/>
      <c r="G555" s="135"/>
      <c r="H555" s="135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>
      <c r="A556" s="76"/>
      <c r="B556" s="76"/>
      <c r="C556" s="76"/>
      <c r="D556" s="76"/>
      <c r="E556" s="76"/>
      <c r="F556" s="76"/>
      <c r="G556" s="135"/>
      <c r="H556" s="135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>
      <c r="A557" s="76"/>
      <c r="B557" s="76"/>
      <c r="C557" s="76"/>
      <c r="D557" s="76"/>
      <c r="E557" s="76"/>
      <c r="F557" s="76"/>
      <c r="G557" s="135"/>
      <c r="H557" s="135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>
      <c r="A558" s="76"/>
      <c r="B558" s="76"/>
      <c r="C558" s="76"/>
      <c r="D558" s="76"/>
      <c r="E558" s="76"/>
      <c r="F558" s="76"/>
      <c r="G558" s="135"/>
      <c r="H558" s="135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>
      <c r="A559" s="76"/>
      <c r="B559" s="76"/>
      <c r="C559" s="76"/>
      <c r="D559" s="76"/>
      <c r="E559" s="76"/>
      <c r="F559" s="76"/>
      <c r="G559" s="135"/>
      <c r="H559" s="135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>
      <c r="A560" s="76"/>
      <c r="B560" s="76"/>
      <c r="C560" s="76"/>
      <c r="D560" s="76"/>
      <c r="E560" s="76"/>
      <c r="F560" s="76"/>
      <c r="G560" s="135"/>
      <c r="H560" s="135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>
      <c r="A561" s="76"/>
      <c r="B561" s="76"/>
      <c r="C561" s="76"/>
      <c r="D561" s="76"/>
      <c r="E561" s="76"/>
      <c r="F561" s="76"/>
      <c r="G561" s="135"/>
      <c r="H561" s="135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>
      <c r="A562" s="76"/>
      <c r="B562" s="76"/>
      <c r="C562" s="76"/>
      <c r="D562" s="76"/>
      <c r="E562" s="76"/>
      <c r="F562" s="76"/>
      <c r="G562" s="135"/>
      <c r="H562" s="135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>
      <c r="A563" s="76"/>
      <c r="B563" s="76"/>
      <c r="C563" s="76"/>
      <c r="D563" s="76"/>
      <c r="E563" s="76"/>
      <c r="F563" s="76"/>
      <c r="G563" s="135"/>
      <c r="H563" s="135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>
      <c r="A564" s="76"/>
      <c r="B564" s="76"/>
      <c r="C564" s="76"/>
      <c r="D564" s="76"/>
      <c r="E564" s="76"/>
      <c r="F564" s="76"/>
      <c r="G564" s="135"/>
      <c r="H564" s="135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>
      <c r="A565" s="76"/>
      <c r="B565" s="76"/>
      <c r="C565" s="76"/>
      <c r="D565" s="76"/>
      <c r="E565" s="76"/>
      <c r="F565" s="76"/>
      <c r="G565" s="135"/>
      <c r="H565" s="135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>
      <c r="A566" s="76"/>
      <c r="B566" s="76"/>
      <c r="C566" s="76"/>
      <c r="D566" s="76"/>
      <c r="E566" s="76"/>
      <c r="F566" s="76"/>
      <c r="G566" s="135"/>
      <c r="H566" s="135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>
      <c r="A567" s="76"/>
      <c r="B567" s="76"/>
      <c r="C567" s="76"/>
      <c r="D567" s="76"/>
      <c r="E567" s="76"/>
      <c r="F567" s="76"/>
      <c r="G567" s="135"/>
      <c r="H567" s="135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>
      <c r="A568" s="76"/>
      <c r="B568" s="76"/>
      <c r="C568" s="76"/>
      <c r="D568" s="76"/>
      <c r="E568" s="76"/>
      <c r="F568" s="76"/>
      <c r="G568" s="135"/>
      <c r="H568" s="135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>
      <c r="A569" s="76"/>
      <c r="B569" s="76"/>
      <c r="C569" s="76"/>
      <c r="D569" s="76"/>
      <c r="E569" s="76"/>
      <c r="F569" s="76"/>
      <c r="G569" s="135"/>
      <c r="H569" s="135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>
      <c r="A570" s="76"/>
      <c r="B570" s="76"/>
      <c r="C570" s="76"/>
      <c r="D570" s="76"/>
      <c r="E570" s="76"/>
      <c r="F570" s="76"/>
      <c r="G570" s="135"/>
      <c r="H570" s="135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>
      <c r="A571" s="76"/>
      <c r="B571" s="76"/>
      <c r="C571" s="76"/>
      <c r="D571" s="76"/>
      <c r="E571" s="76"/>
      <c r="F571" s="76"/>
      <c r="G571" s="135"/>
      <c r="H571" s="135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>
      <c r="A572" s="76"/>
      <c r="B572" s="76"/>
      <c r="C572" s="76"/>
      <c r="D572" s="76"/>
      <c r="E572" s="76"/>
      <c r="F572" s="76"/>
      <c r="G572" s="135"/>
      <c r="H572" s="135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>
      <c r="A573" s="76"/>
      <c r="B573" s="76"/>
      <c r="C573" s="76"/>
      <c r="D573" s="76"/>
      <c r="E573" s="76"/>
      <c r="F573" s="76"/>
      <c r="G573" s="135"/>
      <c r="H573" s="135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>
      <c r="A574" s="76"/>
      <c r="B574" s="76"/>
      <c r="C574" s="76"/>
      <c r="D574" s="76"/>
      <c r="E574" s="76"/>
      <c r="F574" s="76"/>
      <c r="G574" s="135"/>
      <c r="H574" s="135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>
      <c r="A575" s="76"/>
      <c r="B575" s="76"/>
      <c r="C575" s="76"/>
      <c r="D575" s="76"/>
      <c r="E575" s="76"/>
      <c r="F575" s="76"/>
      <c r="G575" s="135"/>
      <c r="H575" s="135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>
      <c r="A576" s="76"/>
      <c r="B576" s="76"/>
      <c r="C576" s="76"/>
      <c r="D576" s="76"/>
      <c r="E576" s="76"/>
      <c r="F576" s="76"/>
      <c r="G576" s="135"/>
      <c r="H576" s="135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>
      <c r="A577" s="76"/>
      <c r="B577" s="76"/>
      <c r="C577" s="76"/>
      <c r="D577" s="76"/>
      <c r="E577" s="76"/>
      <c r="F577" s="76"/>
      <c r="G577" s="135"/>
      <c r="H577" s="135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>
      <c r="A578" s="76"/>
      <c r="B578" s="76"/>
      <c r="C578" s="76"/>
      <c r="D578" s="76"/>
      <c r="E578" s="76"/>
      <c r="F578" s="76"/>
      <c r="G578" s="135"/>
      <c r="H578" s="135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>
      <c r="A579" s="76"/>
      <c r="B579" s="76"/>
      <c r="C579" s="76"/>
      <c r="D579" s="76"/>
      <c r="E579" s="76"/>
      <c r="F579" s="76"/>
      <c r="G579" s="135"/>
      <c r="H579" s="135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>
      <c r="A580" s="76"/>
      <c r="B580" s="76"/>
      <c r="C580" s="76"/>
      <c r="D580" s="76"/>
      <c r="E580" s="76"/>
      <c r="F580" s="76"/>
      <c r="G580" s="135"/>
      <c r="H580" s="135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>
      <c r="A581" s="76"/>
      <c r="B581" s="76"/>
      <c r="C581" s="76"/>
      <c r="D581" s="76"/>
      <c r="E581" s="76"/>
      <c r="F581" s="76"/>
      <c r="G581" s="135"/>
      <c r="H581" s="135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>
      <c r="A582" s="76"/>
      <c r="B582" s="76"/>
      <c r="C582" s="76"/>
      <c r="D582" s="76"/>
      <c r="E582" s="76"/>
      <c r="F582" s="76"/>
      <c r="G582" s="135"/>
      <c r="H582" s="135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>
      <c r="A583" s="76"/>
      <c r="B583" s="76"/>
      <c r="C583" s="76"/>
      <c r="D583" s="76"/>
      <c r="E583" s="76"/>
      <c r="F583" s="76"/>
      <c r="G583" s="135"/>
      <c r="H583" s="135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>
      <c r="A584" s="76"/>
      <c r="B584" s="76"/>
      <c r="C584" s="76"/>
      <c r="D584" s="76"/>
      <c r="E584" s="76"/>
      <c r="F584" s="76"/>
      <c r="G584" s="135"/>
      <c r="H584" s="135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>
      <c r="A585" s="76"/>
      <c r="B585" s="76"/>
      <c r="C585" s="76"/>
      <c r="D585" s="76"/>
      <c r="E585" s="76"/>
      <c r="F585" s="76"/>
      <c r="G585" s="135"/>
      <c r="H585" s="135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>
      <c r="A586" s="76"/>
      <c r="B586" s="76"/>
      <c r="C586" s="76"/>
      <c r="D586" s="76"/>
      <c r="E586" s="76"/>
      <c r="F586" s="76"/>
      <c r="G586" s="135"/>
      <c r="H586" s="135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>
      <c r="A587" s="76"/>
      <c r="B587" s="76"/>
      <c r="C587" s="76"/>
      <c r="D587" s="76"/>
      <c r="E587" s="76"/>
      <c r="F587" s="76"/>
      <c r="G587" s="135"/>
      <c r="H587" s="135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>
      <c r="A588" s="76"/>
      <c r="B588" s="76"/>
      <c r="C588" s="76"/>
      <c r="D588" s="76"/>
      <c r="E588" s="76"/>
      <c r="F588" s="76"/>
      <c r="G588" s="135"/>
      <c r="H588" s="135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>
      <c r="A589" s="76"/>
      <c r="B589" s="76"/>
      <c r="C589" s="76"/>
      <c r="D589" s="76"/>
      <c r="E589" s="76"/>
      <c r="F589" s="76"/>
      <c r="G589" s="135"/>
      <c r="H589" s="135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>
      <c r="A590" s="76"/>
      <c r="B590" s="76"/>
      <c r="C590" s="76"/>
      <c r="D590" s="76"/>
      <c r="E590" s="76"/>
      <c r="F590" s="76"/>
      <c r="G590" s="135"/>
      <c r="H590" s="135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>
      <c r="A591" s="76"/>
      <c r="B591" s="76"/>
      <c r="C591" s="76"/>
      <c r="D591" s="76"/>
      <c r="E591" s="76"/>
      <c r="F591" s="76"/>
      <c r="G591" s="135"/>
      <c r="H591" s="135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>
      <c r="A592" s="76"/>
      <c r="B592" s="76"/>
      <c r="C592" s="76"/>
      <c r="D592" s="76"/>
      <c r="E592" s="76"/>
      <c r="F592" s="76"/>
      <c r="G592" s="135"/>
      <c r="H592" s="135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>
      <c r="A593" s="76"/>
      <c r="B593" s="76"/>
      <c r="C593" s="76"/>
      <c r="D593" s="76"/>
      <c r="E593" s="76"/>
      <c r="F593" s="76"/>
      <c r="G593" s="135"/>
      <c r="H593" s="135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>
      <c r="A594" s="76"/>
      <c r="B594" s="76"/>
      <c r="C594" s="76"/>
      <c r="D594" s="76"/>
      <c r="E594" s="76"/>
      <c r="F594" s="76"/>
      <c r="G594" s="135"/>
      <c r="H594" s="135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>
      <c r="A595" s="76"/>
      <c r="B595" s="76"/>
      <c r="C595" s="76"/>
      <c r="D595" s="76"/>
      <c r="E595" s="76"/>
      <c r="F595" s="76"/>
      <c r="G595" s="135"/>
      <c r="H595" s="135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>
      <c r="A596" s="76"/>
      <c r="B596" s="76"/>
      <c r="C596" s="76"/>
      <c r="D596" s="76"/>
      <c r="E596" s="76"/>
      <c r="F596" s="76"/>
      <c r="G596" s="135"/>
      <c r="H596" s="135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>
      <c r="A597" s="76"/>
      <c r="B597" s="76"/>
      <c r="C597" s="76"/>
      <c r="D597" s="76"/>
      <c r="E597" s="76"/>
      <c r="F597" s="76"/>
      <c r="G597" s="135"/>
      <c r="H597" s="135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>
      <c r="A598" s="76"/>
      <c r="B598" s="76"/>
      <c r="C598" s="76"/>
      <c r="D598" s="76"/>
      <c r="E598" s="76"/>
      <c r="F598" s="76"/>
      <c r="G598" s="135"/>
      <c r="H598" s="135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>
      <c r="A599" s="76"/>
      <c r="B599" s="76"/>
      <c r="C599" s="76"/>
      <c r="D599" s="76"/>
      <c r="E599" s="76"/>
      <c r="F599" s="76"/>
      <c r="G599" s="135"/>
      <c r="H599" s="135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>
      <c r="A600" s="76"/>
      <c r="B600" s="76"/>
      <c r="C600" s="76"/>
      <c r="D600" s="76"/>
      <c r="E600" s="76"/>
      <c r="F600" s="76"/>
      <c r="G600" s="135"/>
      <c r="H600" s="135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>
      <c r="A601" s="76"/>
      <c r="B601" s="76"/>
      <c r="C601" s="76"/>
      <c r="D601" s="76"/>
      <c r="E601" s="76"/>
      <c r="F601" s="76"/>
      <c r="G601" s="135"/>
      <c r="H601" s="135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>
      <c r="A602" s="76"/>
      <c r="B602" s="76"/>
      <c r="C602" s="76"/>
      <c r="D602" s="76"/>
      <c r="E602" s="76"/>
      <c r="F602" s="76"/>
      <c r="G602" s="135"/>
      <c r="H602" s="135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</sheetData>
  <conditionalFormatting sqref="A2:F602">
    <cfRule type="expression" dxfId="7" priority="1">
      <formula>$A2 = "Serviços"</formula>
    </cfRule>
  </conditionalFormatting>
  <conditionalFormatting sqref="G2:G602">
    <cfRule type="cellIs" dxfId="8" priority="2" operator="greaterThan">
      <formula>0</formula>
    </cfRule>
  </conditionalFormatting>
  <conditionalFormatting sqref="G2:G602">
    <cfRule type="cellIs" dxfId="9" priority="3" operator="lessThan">
      <formula>0</formula>
    </cfRule>
  </conditionalFormatting>
  <dataValidations>
    <dataValidation type="list" allowBlank="1" sqref="A2:A75">
      <formula1>"Serviços,Aporte CIMMVI"</formula1>
    </dataValidation>
    <dataValidation type="list" allowBlank="1" sqref="E2:E75">
      <formula1>"Pago,Aguardando Aprovação,Em aberto,Aprovado - Aguardando Pagamento,Pagamento Realizado - Aguardando autorização Margarete"</formula1>
    </dataValidation>
    <dataValidation type="custom" allowBlank="1" showDropDown="1" sqref="D2:D75">
      <formula1>OR(NOT(ISERROR(DATEVALUE(D2))), AND(ISNUMBER(D2), LEFT(CELL("format", D2))="D"))</formula1>
    </dataValidation>
    <dataValidation type="list" allowBlank="1" sqref="F2:F75">
      <formula1>"Pix,Boleto,Não consta,Débito automático"</formula1>
    </dataValidation>
    <dataValidation type="custom" allowBlank="1" showDropDown="1" sqref="G2:G75">
      <formula1>AND(ISNUMBER(G2),(NOT(OR(NOT(ISERROR(DATEVALUE(G2))), AND(ISNUMBER(G2), LEFT(CELL("format", G2))="D")))))</formula1>
    </dataValidation>
    <dataValidation allowBlank="1" showDropDown="1" sqref="C2:C75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5" t="s">
        <v>2</v>
      </c>
      <c r="B1" s="5" t="s">
        <v>6</v>
      </c>
      <c r="C1" s="9" t="s">
        <v>8</v>
      </c>
      <c r="D1" s="12" t="s">
        <v>11</v>
      </c>
      <c r="E1" s="12" t="s">
        <v>13</v>
      </c>
    </row>
    <row r="2" ht="22.5" customHeight="1">
      <c r="A2" s="15" t="s">
        <v>15</v>
      </c>
      <c r="B2" s="20" t="s">
        <v>18</v>
      </c>
      <c r="C2" s="22"/>
      <c r="D2" s="15" t="s">
        <v>21</v>
      </c>
      <c r="E2" s="20" t="s">
        <v>23</v>
      </c>
    </row>
    <row r="3" ht="22.5" customHeight="1">
      <c r="A3" s="15" t="s">
        <v>24</v>
      </c>
      <c r="B3" s="20" t="s">
        <v>25</v>
      </c>
      <c r="C3" s="22"/>
      <c r="D3" s="15" t="s">
        <v>26</v>
      </c>
      <c r="E3" s="20" t="s">
        <v>28</v>
      </c>
    </row>
    <row r="4" ht="22.5" customHeight="1">
      <c r="A4" s="15" t="s">
        <v>30</v>
      </c>
      <c r="B4" s="20" t="s">
        <v>31</v>
      </c>
      <c r="C4" s="22"/>
      <c r="D4" s="15" t="s">
        <v>33</v>
      </c>
      <c r="E4" s="20" t="s">
        <v>34</v>
      </c>
    </row>
    <row r="5" ht="22.5" customHeight="1">
      <c r="A5" s="15" t="s">
        <v>35</v>
      </c>
      <c r="B5" s="20" t="s">
        <v>18</v>
      </c>
      <c r="C5" s="22"/>
      <c r="D5" s="15" t="s">
        <v>36</v>
      </c>
      <c r="E5" s="20" t="s">
        <v>37</v>
      </c>
    </row>
    <row r="6" ht="22.5" customHeight="1">
      <c r="A6" s="15" t="s">
        <v>38</v>
      </c>
      <c r="B6" s="20" t="s">
        <v>18</v>
      </c>
      <c r="C6" s="22"/>
      <c r="D6" s="15" t="s">
        <v>39</v>
      </c>
      <c r="E6" s="20" t="s">
        <v>40</v>
      </c>
    </row>
    <row r="7" ht="22.5" customHeight="1">
      <c r="A7" s="15" t="s">
        <v>41</v>
      </c>
      <c r="B7" s="20" t="s">
        <v>42</v>
      </c>
      <c r="C7" s="22"/>
      <c r="D7" s="45"/>
      <c r="E7" s="45"/>
    </row>
    <row r="8" ht="22.5" customHeight="1">
      <c r="A8" s="15" t="s">
        <v>44</v>
      </c>
      <c r="B8" s="20" t="s">
        <v>45</v>
      </c>
      <c r="C8" s="22"/>
      <c r="D8" s="45"/>
      <c r="E8" s="45"/>
    </row>
    <row r="9" ht="22.5" customHeight="1">
      <c r="A9" s="15" t="s">
        <v>46</v>
      </c>
      <c r="B9" s="20" t="s">
        <v>47</v>
      </c>
      <c r="C9" s="22"/>
      <c r="D9" s="45"/>
      <c r="E9" s="45"/>
    </row>
    <row r="10" ht="22.5" customHeight="1">
      <c r="A10" s="15" t="s">
        <v>49</v>
      </c>
      <c r="B10" s="20" t="s">
        <v>42</v>
      </c>
      <c r="C10" s="22"/>
      <c r="D10" s="45"/>
      <c r="E10" s="45"/>
    </row>
    <row r="11" ht="22.5" customHeight="1">
      <c r="A11" s="15" t="s">
        <v>50</v>
      </c>
      <c r="B11" s="20" t="s">
        <v>51</v>
      </c>
      <c r="C11" s="22"/>
      <c r="D11" s="45"/>
      <c r="E11" s="45"/>
    </row>
    <row r="12" ht="22.5" customHeight="1">
      <c r="A12" s="15" t="s">
        <v>54</v>
      </c>
      <c r="B12" s="20" t="s">
        <v>55</v>
      </c>
      <c r="C12" s="22"/>
      <c r="D12" s="45"/>
      <c r="E12" s="45"/>
    </row>
    <row r="13" ht="22.5" customHeight="1">
      <c r="A13" s="15" t="s">
        <v>56</v>
      </c>
      <c r="B13" s="20" t="s">
        <v>55</v>
      </c>
      <c r="C13" s="22"/>
      <c r="D13" s="45"/>
      <c r="E13" s="45"/>
    </row>
  </sheetData>
  <drawing r:id="rId1"/>
  <tableParts count="1">
    <tablePart r:id="rId3"/>
  </tableParts>
</worksheet>
</file>